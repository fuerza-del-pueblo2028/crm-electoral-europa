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cional de Madrid" sheetId="1" r:id="rId5"/>
    <sheet state="visible" name="Seccional de Barcelona" sheetId="2" r:id="rId6"/>
    <sheet state="visible" name="Seccional de Milano" sheetId="3" r:id="rId7"/>
    <sheet state="visible" name="Presidentes Direcciones Medias " sheetId="4" r:id="rId8"/>
    <sheet state="visible" name="Seccional de Holanda" sheetId="5" r:id="rId9"/>
    <sheet state="visible" name="Seccional de Valencia" sheetId="6" r:id="rId10"/>
    <sheet state="visible" name="Seccional de Zurich" sheetId="7" r:id="rId11"/>
  </sheets>
  <definedNames>
    <definedName hidden="1" localSheetId="0" name="_xlnm._FilterDatabase">'Seccional de Madrid'!$A$3:$H$60</definedName>
  </definedNames>
  <calcPr/>
</workbook>
</file>

<file path=xl/sharedStrings.xml><?xml version="1.0" encoding="utf-8"?>
<sst xmlns="http://schemas.openxmlformats.org/spreadsheetml/2006/main" count="1063" uniqueCount="774">
  <si>
    <t>RECINTOS ELECTORALES SECCIONAL DE MADRID 2024</t>
  </si>
  <si>
    <t>Número Recinto</t>
  </si>
  <si>
    <t>RECINTOS</t>
  </si>
  <si>
    <t>ZONA</t>
  </si>
  <si>
    <t>DIRECCIÓN</t>
  </si>
  <si>
    <t>ELECTORES</t>
  </si>
  <si>
    <t>TOTAL DE COLEGIOS</t>
  </si>
  <si>
    <t>COLEGIOS N°</t>
  </si>
  <si>
    <t>00063</t>
  </si>
  <si>
    <t>QUINTA DE SERVAJTE SALA DE ESPOSICIONES DE LA JUNTA MUNICIPAL DISTRITO 1 (ALCALÁ) 00063</t>
  </si>
  <si>
    <t>ALCALÁ</t>
  </si>
  <si>
    <t>C/ Navarro y Ledesma 1,3.28007</t>
  </si>
  <si>
    <t>230 y 231</t>
  </si>
  <si>
    <t>00064</t>
  </si>
  <si>
    <t>CEIP BUEN GOBERNADOR, GIMNASIO (TORREJON DE ARDOZ 00064</t>
  </si>
  <si>
    <t>TORREJÓN</t>
  </si>
  <si>
    <t>Av. de la Constitución 9, 28850</t>
  </si>
  <si>
    <t>232 y 233</t>
  </si>
  <si>
    <t>00065</t>
  </si>
  <si>
    <t>CENTRO CÍVICO APONTE (OURENSE)00065</t>
  </si>
  <si>
    <t>OURENSE</t>
  </si>
  <si>
    <t>Rúa Eulogio Gómez Franquista 43 , 32001</t>
  </si>
  <si>
    <t>234 y 235</t>
  </si>
  <si>
    <t>00066</t>
  </si>
  <si>
    <t>CENTRO CÍVICO BÉCQUER (SORIA)00066</t>
  </si>
  <si>
    <t>SORIA</t>
  </si>
  <si>
    <t>C/ Infante de Lara, 1 42003</t>
  </si>
  <si>
    <t>00067</t>
  </si>
  <si>
    <t>CENTRO CÍVICO BUENA VISTA SALON DE ACTOS (TOLEDO)00067</t>
  </si>
  <si>
    <t>TOLEDO</t>
  </si>
  <si>
    <t>Av. de Portugal, 9 , 45009</t>
  </si>
  <si>
    <t>237 y 238</t>
  </si>
  <si>
    <t>00068</t>
  </si>
  <si>
    <t>CENTRO CÍVICO EL TEJAR DE MELLISO (SEVILLA)</t>
  </si>
  <si>
    <t>SEVILLA</t>
  </si>
  <si>
    <t>C/ Santa fe, 2, 41011</t>
  </si>
  <si>
    <t>0239, 0240, 0241 y 0242</t>
  </si>
  <si>
    <t>00069</t>
  </si>
  <si>
    <t>CENTRO CIVICO FLORES DE SIL (PONFERRADA)00069</t>
  </si>
  <si>
    <t>PONFERRADA</t>
  </si>
  <si>
    <t>C/Joaquín Bruma, 92, 24400</t>
  </si>
  <si>
    <t>00070</t>
  </si>
  <si>
    <t>CENTRO CÍVICO INTEGRADO ZONA ESTE ( VALLADOLID)00070</t>
  </si>
  <si>
    <t>VALLADOLID</t>
  </si>
  <si>
    <t>Plaza Biólogo José Antonio Valverde, 1, 47012</t>
  </si>
  <si>
    <t>244,245 y 246</t>
  </si>
  <si>
    <t>00071</t>
  </si>
  <si>
    <t>CENTRO CÍVICO EPERRALDE ll (VICTORIA GASTEIZ 00071</t>
  </si>
  <si>
    <t>VICTORIA GASTEIZ</t>
  </si>
  <si>
    <t>C/ Reyes Católicos Kalea, 15, 01013</t>
  </si>
  <si>
    <t>247 y 248</t>
  </si>
  <si>
    <t>00072</t>
  </si>
  <si>
    <t>CENTRO CÍVICO JOSÉ SARAMAGO (LEGANÉS)00072</t>
  </si>
  <si>
    <t>LEGANÉS</t>
  </si>
  <si>
    <t>Av. Mar Mediterráneo 24, 28918</t>
  </si>
  <si>
    <t>00073</t>
  </si>
  <si>
    <t>CENTRO CÍVICO JUAN DE LA CIERVA (GETAFE)00073</t>
  </si>
  <si>
    <t>GETAFE</t>
  </si>
  <si>
    <t>Plaza de las provincias, s/n. 28003</t>
  </si>
  <si>
    <t>00074</t>
  </si>
  <si>
    <t>CENTRO CÍVICO LEON OESTE (LEÓN)00074</t>
  </si>
  <si>
    <t>LEÓN</t>
  </si>
  <si>
    <t>Av. de las Magdalenas ,9, 24009</t>
  </si>
  <si>
    <t>251 y 252</t>
  </si>
  <si>
    <t>00075</t>
  </si>
  <si>
    <t>CENTRO CÍVICO LOS ROSALES, SALA POLIVALENTE (CIUDAD REAL)00075</t>
  </si>
  <si>
    <t>CIUDAD REAL</t>
  </si>
  <si>
    <t>C/ Adelfa, 51, 13005</t>
  </si>
  <si>
    <t>00076</t>
  </si>
  <si>
    <t>CENTRO CÍVICO SAN DIEGO (LA CORUÑA)00076</t>
  </si>
  <si>
    <t>LA CORUÑA</t>
  </si>
  <si>
    <t>C/ Alberto García Ferreiro, parque San Diego s/n, 15006</t>
  </si>
  <si>
    <t>254,255 y 256</t>
  </si>
  <si>
    <t>00077</t>
  </si>
  <si>
    <t>CENTRO CULTURAL EDUARDO URCULO (VENTILLA)00077</t>
  </si>
  <si>
    <t>VENTILLA</t>
  </si>
  <si>
    <t>Plaza Donoso, 5 , 28029</t>
  </si>
  <si>
    <t>257,258,259 y 260</t>
  </si>
  <si>
    <t>00078</t>
  </si>
  <si>
    <t>CENTRO CULTURAL ÉL CAPRICHO (COLLADO VILLALBA)00078</t>
  </si>
  <si>
    <t>COLLADO VILLALBA</t>
  </si>
  <si>
    <t>Plaza cuatro caños, 28400</t>
  </si>
  <si>
    <t>261 y 262</t>
  </si>
  <si>
    <t>00079</t>
  </si>
  <si>
    <t>CENTRO CULTURAL HORTALEZA 00079</t>
  </si>
  <si>
    <t>HORTALEZA</t>
  </si>
  <si>
    <t>N/D</t>
  </si>
  <si>
    <t>263,264 y 265</t>
  </si>
  <si>
    <t>00080</t>
  </si>
  <si>
    <t>CENTRO CULTURAL LOILA (DONOSTIAS SAN SEBASTIÁN)00080</t>
  </si>
  <si>
    <t>DONOSTIAS SAN SEBASTIÁN</t>
  </si>
  <si>
    <t>C/ Sierra Aralar, 17 ,20014</t>
  </si>
  <si>
    <t>00081</t>
  </si>
  <si>
    <t>CENTRO CULTURAL SAN FRANCISCO LA PRENSA ( CARABANCHEL)00081</t>
  </si>
  <si>
    <t>CARABANCHEL</t>
  </si>
  <si>
    <t>C/Aliseda 4, 28025</t>
  </si>
  <si>
    <t>267,268,269 y 270</t>
  </si>
  <si>
    <t>00082</t>
  </si>
  <si>
    <t>CENTRO CULTURAL SAN JOSE (SEGOVIA)00082</t>
  </si>
  <si>
    <t>SEGOVIA</t>
  </si>
  <si>
    <t>C/ Tomada de la Iglesia 1, 40005</t>
  </si>
  <si>
    <t>00083</t>
  </si>
  <si>
    <t>CENT4O CULTURAL SANTA PETRONILA (VILLAVERDE BAJO)00083</t>
  </si>
  <si>
    <t>VILLAVERDE BAJO</t>
  </si>
  <si>
    <t>C/ María Martínez Albiol, 12, 28021</t>
  </si>
  <si>
    <t>272,273 y 274</t>
  </si>
  <si>
    <t>00084</t>
  </si>
  <si>
    <t>CENTRO CULTURAL USERA 1 (USERA)00084</t>
  </si>
  <si>
    <t>USERA</t>
  </si>
  <si>
    <t>Av. de Rafaela Y barra 49,28026</t>
  </si>
  <si>
    <t>275, 276 y 277</t>
  </si>
  <si>
    <t>00085</t>
  </si>
  <si>
    <t>CENTRO DE PARTICIPACIÓN CIUDADANA JUAN JOSÉ LÓPEZ (MÓSTOLES)00085</t>
  </si>
  <si>
    <t>MÓSTOLES</t>
  </si>
  <si>
    <t>C/ San Antonio, 2, 28931</t>
  </si>
  <si>
    <t>278 y 279</t>
  </si>
  <si>
    <t>00086</t>
  </si>
  <si>
    <t>CENTRO MUNICIPAL DE LAS ARTES (ALCORCÓN)00086</t>
  </si>
  <si>
    <t>ALCORCÓN</t>
  </si>
  <si>
    <t>C/ Robles s/n, 28922</t>
  </si>
  <si>
    <t>280 y 281</t>
  </si>
  <si>
    <t>00087</t>
  </si>
  <si>
    <t>CENTRO MUNICIPAL DE MAYORES CASA BULEVAR ( VALLECAS 2)00087</t>
  </si>
  <si>
    <t>VALLECAS 2</t>
  </si>
  <si>
    <t>C/ Peña Gorbea 22, 28053</t>
  </si>
  <si>
    <t>282,283,284 y 285</t>
  </si>
  <si>
    <t>00088</t>
  </si>
  <si>
    <t>CENTRO MUNICIPAL DE MAYORES PRINCIPE DE ASTURIAS PLANTA BAJA ( CIUDAD LINEAL)00088</t>
  </si>
  <si>
    <t>CIUDAD LINEAL</t>
  </si>
  <si>
    <t>C/ Hermanos García Noblejas 14, 28037</t>
  </si>
  <si>
    <t>286,287,288,289 y 290</t>
  </si>
  <si>
    <t>00089</t>
  </si>
  <si>
    <t>CENTRO MUNICIPAL DE RECURSOS EDUCATIVOS JULIO VERNE (FUENLABRADA)00089</t>
  </si>
  <si>
    <t>FUENLABRADA</t>
  </si>
  <si>
    <t>C/ Logroño 2, 28941</t>
  </si>
  <si>
    <t>291 y 292</t>
  </si>
  <si>
    <t>00090</t>
  </si>
  <si>
    <t>CENTRO MUNICIPAL INTEGRANDO EDUARDO GUITIÁN ( GUADALAJA)00090</t>
  </si>
  <si>
    <t>GUADALAJARA</t>
  </si>
  <si>
    <t>Av. Del Vado, 15, 19005</t>
  </si>
  <si>
    <t>293 y 294</t>
  </si>
  <si>
    <t>00091</t>
  </si>
  <si>
    <t>CENTRO MUNICIPAL INTEGRANDO EL LLANO (ASTURIAS) GIJÓN 00091</t>
  </si>
  <si>
    <t>GIJÓN</t>
  </si>
  <si>
    <t>C/ Rio de Oro, 37, 33209</t>
  </si>
  <si>
    <t>295 y 296</t>
  </si>
  <si>
    <t>00092</t>
  </si>
  <si>
    <t>CENTRO MUNICIPAL INTEGRANDO JULIAN SÁNCHEZ EL CHARRO (SALAMANCA)00092</t>
  </si>
  <si>
    <t>SALAMANCA</t>
  </si>
  <si>
    <t>Plaza de la Concordia s/ n , 37005</t>
  </si>
  <si>
    <t>00093</t>
  </si>
  <si>
    <t>CENTRO MUNICIPAL LA ESFERA (ALCOBENDAS)00093</t>
  </si>
  <si>
    <t>ALCOBENDAS</t>
  </si>
  <si>
    <t>Av. Olímpica 14, 28108</t>
  </si>
  <si>
    <t>298,299,300.301 y 302</t>
  </si>
  <si>
    <t>00094</t>
  </si>
  <si>
    <t>CENTRO PACO MARTÍN (LUGO)00094</t>
  </si>
  <si>
    <t>LUGO</t>
  </si>
  <si>
    <t>Rúa Mar Cantábrico, 32, Esq., Rúa Vázquez Quipo, 27004</t>
  </si>
  <si>
    <t>00095</t>
  </si>
  <si>
    <t>CENTRO SOCIAL PULMARIN ( ASTURIAS) OVIEDO 00095</t>
  </si>
  <si>
    <t>OVIEDO</t>
  </si>
  <si>
    <t>C/ Turina , 1, 33011</t>
  </si>
  <si>
    <t>00096</t>
  </si>
  <si>
    <t>CENTRO SOCIO CULTURAL ÁGATA (VILLAVERDE ALTO)00096</t>
  </si>
  <si>
    <t>VILLAVERDE ALTO</t>
  </si>
  <si>
    <t>C/ Martín Doctor Arévalo, 2, 28021</t>
  </si>
  <si>
    <t>305,306,307,308 y 309</t>
  </si>
  <si>
    <t>00097</t>
  </si>
  <si>
    <t>CENTRO SOCIO CULTURAL JOSE ESPRONCEDA (CUATRO CAMINOS)00097</t>
  </si>
  <si>
    <t>ESPRONCEDA</t>
  </si>
  <si>
    <t>C/ Almansa, 9 , 28039</t>
  </si>
  <si>
    <t>310,311 y 312</t>
  </si>
  <si>
    <t>00098</t>
  </si>
  <si>
    <t>CENTRO SOCIO CULTURAL TETUÁN (TETUÁN)00098</t>
  </si>
  <si>
    <t>TETUÁN</t>
  </si>
  <si>
    <t>C/ Brovo Murillo, 251, 28020</t>
  </si>
  <si>
    <t>313 y 314</t>
  </si>
  <si>
    <t>00099</t>
  </si>
  <si>
    <t>COLEGIO EDUCACIÓN INFANTIL Y PRIMARIA LA LATINA (LA LATINA)00099</t>
  </si>
  <si>
    <t>LA LATINA</t>
  </si>
  <si>
    <t>C/ Maqueda, 130, 28024</t>
  </si>
  <si>
    <t>315,316 y 317</t>
  </si>
  <si>
    <t>00100</t>
  </si>
  <si>
    <t>COLEGIO PÚBLICO JAIME VERA (CUATRO CAMINOS)00100</t>
  </si>
  <si>
    <t>JAIME VERA</t>
  </si>
  <si>
    <t>C/ Bravo Murillo, 162, 28020</t>
  </si>
  <si>
    <t>318,319,320,321  322 y 323</t>
  </si>
  <si>
    <t>00101</t>
  </si>
  <si>
    <t>COLEGIO PÚBLICO LUIS BELLO (PROSPERIDAD)00101</t>
  </si>
  <si>
    <t>PROSPERIDAD</t>
  </si>
  <si>
    <t>C/ Luis Cabrera 66, 28002</t>
  </si>
  <si>
    <t>324,325,326 y 327</t>
  </si>
  <si>
    <t>00102</t>
  </si>
  <si>
    <t>CPEIP HERMANOS PINZÓN (CAMPAMENTO)00102</t>
  </si>
  <si>
    <t>CAMPAMENTO</t>
  </si>
  <si>
    <t>C/ Azor 4, 28024</t>
  </si>
  <si>
    <t>328,329,330 y 331</t>
  </si>
  <si>
    <t>00103</t>
  </si>
  <si>
    <t>EDIFICIO DE LA TABACALERA ( MALAGA)00103</t>
  </si>
  <si>
    <t>MÁLAGA</t>
  </si>
  <si>
    <t>C/ Concejal Muñoz Cervan, 3, Módulo 3, planta baja, 28004</t>
  </si>
  <si>
    <t>00104</t>
  </si>
  <si>
    <t>ESPACIO EDUCARTE (POZUELO DE ALARCÓN)00104</t>
  </si>
  <si>
    <t>POZUELO DE ALARCÓN</t>
  </si>
  <si>
    <t>Camino de las Huertas 9, 28023</t>
  </si>
  <si>
    <t>00105</t>
  </si>
  <si>
    <t>HOTEL ESCUELA SQNTA CRUZ ( SANTA CRUZ DE TENERIFE)00105</t>
  </si>
  <si>
    <t>SANTA CRUZ DE TENERIFE</t>
  </si>
  <si>
    <t>Av. De San Sebastián, 152, 38005</t>
  </si>
  <si>
    <t>00106</t>
  </si>
  <si>
    <t>HOTEL IBIS BILBAO CENTRO ( BILBAO )00106</t>
  </si>
  <si>
    <t>BILBAO</t>
  </si>
  <si>
    <t>C/ General Concha, 28, 48010</t>
  </si>
  <si>
    <t>00107</t>
  </si>
  <si>
    <t>HOTEL MAJADAHONDA (MAJADAHONDA)00107</t>
  </si>
  <si>
    <t>MAJADAHONDA</t>
  </si>
  <si>
    <t>Carretera Boadilla del Monte , km. 7.300</t>
  </si>
  <si>
    <t>336 y 337</t>
  </si>
  <si>
    <t>00108</t>
  </si>
  <si>
    <t>LA CASA DE LA CULTURA (PARLA)00108</t>
  </si>
  <si>
    <t>PARLA</t>
  </si>
  <si>
    <t>C/ San Antón, 46, 28982</t>
  </si>
  <si>
    <t>338,339 y 340</t>
  </si>
  <si>
    <t>00109</t>
  </si>
  <si>
    <t>CASA DEL PUEBLO (PSOE VALLECAS 1)00109</t>
  </si>
  <si>
    <t>VALLECAS 1</t>
  </si>
  <si>
    <t>C/ Concordia, 6 , 28053</t>
  </si>
  <si>
    <t>341,342.343 y 344</t>
  </si>
  <si>
    <t>00110</t>
  </si>
  <si>
    <t>LITIN AMERICAN HOUSE ( INGLATERRA)</t>
  </si>
  <si>
    <t>INGLATERRA</t>
  </si>
  <si>
    <t>10, KIngsgate Place, London, NW6 4TA</t>
  </si>
  <si>
    <t>345 y 346</t>
  </si>
  <si>
    <t>00111</t>
  </si>
  <si>
    <t>JUNTA MUNICIPAL DE SAN BLAS / CANILLEJAS ( SAN BLAS)</t>
  </si>
  <si>
    <t>SAN BLAS</t>
  </si>
  <si>
    <t>Av. Arcedentales 28, 28022</t>
  </si>
  <si>
    <t>347,348,349 y 350</t>
  </si>
  <si>
    <t>00112</t>
  </si>
  <si>
    <t>LOCAL DE COMISIONES OBRERAS (BURGOS)00112</t>
  </si>
  <si>
    <t>BURGOS</t>
  </si>
  <si>
    <t>C/ San Pablo, 8, 09005</t>
  </si>
  <si>
    <t>351 y 352</t>
  </si>
  <si>
    <t>00113</t>
  </si>
  <si>
    <t>NAVE DE TERNERA DE LA CASA DEL RELOJ (ARGANZUELA LEGAZPI)00113</t>
  </si>
  <si>
    <t>ARGANZUELA LEGAZPI</t>
  </si>
  <si>
    <t>Paseo de la chopera, 10, 28045</t>
  </si>
  <si>
    <t>353,354,355 y 356</t>
  </si>
  <si>
    <t>00114</t>
  </si>
  <si>
    <t>OFICINA PARROQUIALES, PARROQUIA EL SALVADOR (PAMPLONA)00114</t>
  </si>
  <si>
    <t>PAMPLONA</t>
  </si>
  <si>
    <t>Av.Marcelo Celayeta,9, 3101114</t>
  </si>
  <si>
    <t>357,358 y 359</t>
  </si>
  <si>
    <t>00115</t>
  </si>
  <si>
    <t>PSOE GRANADA ( GRANADA)00115</t>
  </si>
  <si>
    <t>GRANADA</t>
  </si>
  <si>
    <t>C/ Torre de la pólvora, 22, 18008</t>
  </si>
  <si>
    <t>360 y 361</t>
  </si>
  <si>
    <t>00116</t>
  </si>
  <si>
    <t>SALA POLIVALENTE PARLAMENTO DE CANTABRIA ( CANTABRIA) SANTANDER00116</t>
  </si>
  <si>
    <t>SANTANDER</t>
  </si>
  <si>
    <t>C/ Alta ,31 y 32, 39008</t>
  </si>
  <si>
    <t>362 y 363</t>
  </si>
  <si>
    <t>00117</t>
  </si>
  <si>
    <t>SALÓN DE ACTO DE LA JEFATURA DE LA POLICÍA LOCAL (AVILA)00117</t>
  </si>
  <si>
    <t>ÁVILA</t>
  </si>
  <si>
    <t>C/Molino del Carril, 1, 05005</t>
  </si>
  <si>
    <t>00118</t>
  </si>
  <si>
    <t>SEDE COALICIÓN CANARIA (LANZAROTE)00118</t>
  </si>
  <si>
    <t>LANZAROTE</t>
  </si>
  <si>
    <t>Av. Hernández Pacheco, 6, Esq. Con C/LA Carmen Titerroy, 35500</t>
  </si>
  <si>
    <t>365 y 366</t>
  </si>
  <si>
    <t>RECINTOS ELECTORALES SECCIONAL DE BARCELONA 2024</t>
  </si>
  <si>
    <t>00001</t>
  </si>
  <si>
    <t>AYUNTAMIENTO DE SALOU (SALA AUDITORIO)</t>
  </si>
  <si>
    <t>SALOU</t>
  </si>
  <si>
    <t>0001 Y 0002</t>
  </si>
  <si>
    <t>00002</t>
  </si>
  <si>
    <t>CASAL CIVIC I COMUNITARIAIGUALDA</t>
  </si>
  <si>
    <t>IGUALADA</t>
  </si>
  <si>
    <t>0003</t>
  </si>
  <si>
    <t>00003</t>
  </si>
  <si>
    <t>CENTRE CIVIC DEL CARME</t>
  </si>
  <si>
    <t>REUS</t>
  </si>
  <si>
    <t>0004 Y 0005</t>
  </si>
  <si>
    <t>00004</t>
  </si>
  <si>
    <t>CENTRE CIVIC I COMUNITARI CAN BORRELL</t>
  </si>
  <si>
    <t>BLANES</t>
  </si>
  <si>
    <t>0006</t>
  </si>
  <si>
    <t>00005</t>
  </si>
  <si>
    <t>CENTRE CIVIC JOAN OLIVER PERE QUART</t>
  </si>
  <si>
    <t>BARCELONA</t>
  </si>
  <si>
    <t>0007, 0008, 0009, 0010, 0011 Y 0012</t>
  </si>
  <si>
    <t>00006</t>
  </si>
  <si>
    <t>CENTRE CIVIC PRESIDENT MACIÁ</t>
  </si>
  <si>
    <t>TERRASSA</t>
  </si>
  <si>
    <t>0013 Y 0014</t>
  </si>
  <si>
    <t>00007</t>
  </si>
  <si>
    <t>CENTRO CIVICO ATENEU LA BÓBILA</t>
  </si>
  <si>
    <t>NOU BARRIS</t>
  </si>
  <si>
    <t>0015, 0016, 0017, 0018 Y 0019</t>
  </si>
  <si>
    <t>00008</t>
  </si>
  <si>
    <t>CENTRO CIVICO DELICIAS</t>
  </si>
  <si>
    <t>ZARAGOZA</t>
  </si>
  <si>
    <t>0020, 0021 Y 0022</t>
  </si>
  <si>
    <t>00009</t>
  </si>
  <si>
    <t>CENTRO CIVICO ELS PINS</t>
  </si>
  <si>
    <t>SANTA COLOMA DE GRAMANET</t>
  </si>
  <si>
    <t>0023, 0024, 0025 Y 0026</t>
  </si>
  <si>
    <t>00010</t>
  </si>
  <si>
    <t>COMISIONES OBRERAS</t>
  </si>
  <si>
    <t>0027, 0028, 0029 Y 0030</t>
  </si>
  <si>
    <t>00011</t>
  </si>
  <si>
    <t>EMBAJADA DE LA REP. DOMINICANA EN PARIS</t>
  </si>
  <si>
    <t>PARIS FRANCIA</t>
  </si>
  <si>
    <t>0031 Y 0032</t>
  </si>
  <si>
    <t>00012</t>
  </si>
  <si>
    <t>ESPAI POLIVANT PARC DEL NORTE</t>
  </si>
  <si>
    <t>SABADELL</t>
  </si>
  <si>
    <t>0033, 0034 Y 0035</t>
  </si>
  <si>
    <t>00013</t>
  </si>
  <si>
    <t>ETINCELLE COWORKING SARL-TOULOUSE</t>
  </si>
  <si>
    <t>TOLOUSSE FRANCIA</t>
  </si>
  <si>
    <t>0036</t>
  </si>
  <si>
    <t>00014</t>
  </si>
  <si>
    <t>HOTEL CATALONIA PLAZA</t>
  </si>
  <si>
    <t>0037, 0038, 0039, 0040, 0041, 0042 Y 0043</t>
  </si>
  <si>
    <t>00015</t>
  </si>
  <si>
    <t>HOTEL SANSI</t>
  </si>
  <si>
    <t>LLEIDA</t>
  </si>
  <si>
    <t>0044 Y 0045</t>
  </si>
  <si>
    <t>00016</t>
  </si>
  <si>
    <t>LA FARGA</t>
  </si>
  <si>
    <t>L'HOSPITALET</t>
  </si>
  <si>
    <t>0046, 0047, 0048, 0049, 0050, 0051, 0052, 0053 Y 0054</t>
  </si>
  <si>
    <t>00017</t>
  </si>
  <si>
    <t>PALACIO DE CONGRESO DE HUESCA</t>
  </si>
  <si>
    <t>HUESCA</t>
  </si>
  <si>
    <t>0055</t>
  </si>
  <si>
    <t>00018</t>
  </si>
  <si>
    <t>PALAU DEL CONGRESO DE GIRONA</t>
  </si>
  <si>
    <t>GIRONA</t>
  </si>
  <si>
    <t xml:space="preserve">0056, 0057 </t>
  </si>
  <si>
    <t>00019</t>
  </si>
  <si>
    <t>PLA D´EN BOET</t>
  </si>
  <si>
    <t>MATARO</t>
  </si>
  <si>
    <t>0059 Y 0060</t>
  </si>
  <si>
    <t>RECINTOS ELECTORALES SECCIONAL DE MILANO 2024</t>
  </si>
  <si>
    <t>1</t>
  </si>
  <si>
    <t>00127</t>
  </si>
  <si>
    <t>CONSULADO HONORARIO DE ANCONA</t>
  </si>
  <si>
    <t>ANCONA</t>
  </si>
  <si>
    <t>Piazza stamira, 10, 60122, Ancona.</t>
  </si>
  <si>
    <t>0432</t>
  </si>
  <si>
    <t>2</t>
  </si>
  <si>
    <t>00128</t>
  </si>
  <si>
    <t>ASOCIACION DOMINICANA EN ABRUZZO</t>
  </si>
  <si>
    <t>CHIETI</t>
  </si>
  <si>
    <t>Via Avezzano, 44, 66100, Chieti.</t>
  </si>
  <si>
    <t>0433</t>
  </si>
  <si>
    <t>3</t>
  </si>
  <si>
    <t>00129</t>
  </si>
  <si>
    <t>SALA COMUNAL DE LA SPEZIA</t>
  </si>
  <si>
    <t>LA SPEZIA</t>
  </si>
  <si>
    <t>Largo Antonio Vivaldi,19122, Fossitermi La Spezia.</t>
  </si>
  <si>
    <t>0434, 0435, 0436 y 0437</t>
  </si>
  <si>
    <t>4</t>
  </si>
  <si>
    <t>00130</t>
  </si>
  <si>
    <t>CENTRO CIVICO DE VICENZA</t>
  </si>
  <si>
    <t>VICENZA</t>
  </si>
  <si>
    <t>Via de Nicola, 8, 36100 Vicenza.</t>
  </si>
  <si>
    <t>438 y 439</t>
  </si>
  <si>
    <t>5</t>
  </si>
  <si>
    <t>00131</t>
  </si>
  <si>
    <t>CAMARA DEL LAVORO DE TREVISO</t>
  </si>
  <si>
    <t>TREVISO</t>
  </si>
  <si>
    <t>Via G. Dandolo, 4, 31100, Treviso.</t>
  </si>
  <si>
    <t>0440 y 0441</t>
  </si>
  <si>
    <t>6</t>
  </si>
  <si>
    <t>00132</t>
  </si>
  <si>
    <t>CENTRO CIVICO DE COMO</t>
  </si>
  <si>
    <t>COMO</t>
  </si>
  <si>
    <t>Via Collegio Dei Dottori, 9, 22100, Como.</t>
  </si>
  <si>
    <t>0442 y 0443</t>
  </si>
  <si>
    <t>7</t>
  </si>
  <si>
    <t>00133</t>
  </si>
  <si>
    <t>CENTRO INTERCULTURALE ZONARELLI DE BOLOGNA</t>
  </si>
  <si>
    <t>BOLOGNA</t>
  </si>
  <si>
    <t>Via Giovanni antonio sacco, 14, 40127, Bologna.</t>
  </si>
  <si>
    <t>0444 y 0445</t>
  </si>
  <si>
    <t>8</t>
  </si>
  <si>
    <t>00134</t>
  </si>
  <si>
    <t>CIRCOLO DELLA´AUTORITÁ PORTUALE DE GENOVA</t>
  </si>
  <si>
    <t>GENOVA</t>
  </si>
  <si>
    <t>Via Ariberto Albertazzi, 3, 16149, Genova.</t>
  </si>
  <si>
    <t>0446 y 0447</t>
  </si>
  <si>
    <t>9</t>
  </si>
  <si>
    <t>00135</t>
  </si>
  <si>
    <t>SALA AYUNTAMIENTO DE ATHENAS</t>
  </si>
  <si>
    <t>GRECIA</t>
  </si>
  <si>
    <t>Dragatsi 1-A, Pireaus 85 35, B Kinotita, Pireaus, Atenas Grecia.</t>
  </si>
  <si>
    <t>0448</t>
  </si>
  <si>
    <t>10</t>
  </si>
  <si>
    <t>00136</t>
  </si>
  <si>
    <t>HOTEL MIRAGE FLORENCE</t>
  </si>
  <si>
    <t>FIRENZE</t>
  </si>
  <si>
    <t>Via Francesco Baracca, 231/18, 50127 Firenze.</t>
  </si>
  <si>
    <t>0449 y 0450</t>
  </si>
  <si>
    <t>11</t>
  </si>
  <si>
    <t>00137</t>
  </si>
  <si>
    <t>MILANO FORUM ASSAGO</t>
  </si>
  <si>
    <t>MILANO FORUM</t>
  </si>
  <si>
    <t>Via Giuseppe Di Vittorio, 6, 20057, Assago, Milano.</t>
  </si>
  <si>
    <t>0451, 0452, 0453, 0454 y 0455</t>
  </si>
  <si>
    <t>12</t>
  </si>
  <si>
    <t>00138</t>
  </si>
  <si>
    <t>PALESTRA COMUNALE DE PAVIA</t>
  </si>
  <si>
    <t>PAVIA</t>
  </si>
  <si>
    <t>Via Claudio Treves, 22, 27100, Pavia.</t>
  </si>
  <si>
    <t>0456 y 0457</t>
  </si>
  <si>
    <t>13</t>
  </si>
  <si>
    <t>00139</t>
  </si>
  <si>
    <t>PATRONATO INAPI DE TORINO</t>
  </si>
  <si>
    <t>TORINO</t>
  </si>
  <si>
    <t>Via Sagra di San Michele, 53, 10139, Torino</t>
  </si>
  <si>
    <t>0458 y 0459</t>
  </si>
  <si>
    <t>14</t>
  </si>
  <si>
    <t>00140</t>
  </si>
  <si>
    <t>SALA FERDINANDO GIAVARINI</t>
  </si>
  <si>
    <t>BERGAMO</t>
  </si>
  <si>
    <t>Cte. Via Caprera, 17, 24127, Bergamo.</t>
  </si>
  <si>
    <t>0460 y 0461</t>
  </si>
  <si>
    <t>15</t>
  </si>
  <si>
    <t>00141</t>
  </si>
  <si>
    <t>CENTRO CIVICO SAN ROCCO DE MONZA E BRIANZA</t>
  </si>
  <si>
    <t>MONZA E BRIANZA</t>
  </si>
  <si>
    <t>Via D´'annunzio, 35, 20900, Monza e Brianza.</t>
  </si>
  <si>
    <t>0462</t>
  </si>
  <si>
    <t>16</t>
  </si>
  <si>
    <t>00142</t>
  </si>
  <si>
    <t>SALA COMUNAL DE NAPOLI</t>
  </si>
  <si>
    <t>NAPOLI</t>
  </si>
  <si>
    <t>Palazzo San Giacomo, Piazza Municipio, 80133, Napoli.</t>
  </si>
  <si>
    <t>0463, 0464 y 0465</t>
  </si>
  <si>
    <t>17</t>
  </si>
  <si>
    <t>00143</t>
  </si>
  <si>
    <t>SALA COMUNAL DE TERNI</t>
  </si>
  <si>
    <t>TERNI</t>
  </si>
  <si>
    <t>Piazza San Giovanni Paolo, 1, 05100, Terni.</t>
  </si>
  <si>
    <t>0466</t>
  </si>
  <si>
    <t>18</t>
  </si>
  <si>
    <t>00144</t>
  </si>
  <si>
    <t>AYUNTAMIENTO DE UDINE</t>
  </si>
  <si>
    <t>UDINE</t>
  </si>
  <si>
    <t>Sala "A", Via Pradamano, 21, 33100, Udine</t>
  </si>
  <si>
    <t>0467</t>
  </si>
  <si>
    <t>19</t>
  </si>
  <si>
    <t>00145</t>
  </si>
  <si>
    <t>CENTRO D'INCONTRO CAV. FERRUCCIO SORANZO</t>
  </si>
  <si>
    <t>VARESE</t>
  </si>
  <si>
    <t>Via Oriani, 121, 21100 Varese.</t>
  </si>
  <si>
    <t>0468 y 0469</t>
  </si>
  <si>
    <t>20</t>
  </si>
  <si>
    <t>00146</t>
  </si>
  <si>
    <t>SALA COMUNAL DE VERCELLI</t>
  </si>
  <si>
    <t>VERCELLI</t>
  </si>
  <si>
    <t>Piazza Municipio, 2, 13100, Vercelli.</t>
  </si>
  <si>
    <t>0470 y 0471</t>
  </si>
  <si>
    <t>21</t>
  </si>
  <si>
    <t>00147</t>
  </si>
  <si>
    <t>SALA CONFERENZE STADIO</t>
  </si>
  <si>
    <t>VERONA</t>
  </si>
  <si>
    <t>Via Brunelleschi, 12, 37138, Verona.</t>
  </si>
  <si>
    <t>0472 y 0473</t>
  </si>
  <si>
    <t>22</t>
  </si>
  <si>
    <t>00148</t>
  </si>
  <si>
    <t>SALA COMUNAL DE PARMA</t>
  </si>
  <si>
    <t>PARMA</t>
  </si>
  <si>
    <t>Via Antonio Bizzozero, 3-5, 43123, Parma.</t>
  </si>
  <si>
    <t>0474 y 0475</t>
  </si>
  <si>
    <t>23</t>
  </si>
  <si>
    <t>00149</t>
  </si>
  <si>
    <t>ISTITUTO FIGLIE DI NOSTRA SIGNORA AL MONTE CALVARIO</t>
  </si>
  <si>
    <t>ROMA</t>
  </si>
  <si>
    <t>Vía San Quintino, 4  00185 Roma.</t>
  </si>
  <si>
    <t>0476, 0477 y 0478</t>
  </si>
  <si>
    <t>24</t>
  </si>
  <si>
    <t>00150</t>
  </si>
  <si>
    <t>SALA COMUNAL DE MASSA-CARRARA</t>
  </si>
  <si>
    <t>MASSA-CARRARA</t>
  </si>
  <si>
    <t>Via Luini, 24, 54033, Avenza, Carrara.</t>
  </si>
  <si>
    <t>0479</t>
  </si>
  <si>
    <t>25</t>
  </si>
  <si>
    <t>26</t>
  </si>
  <si>
    <t>27</t>
  </si>
  <si>
    <t>28</t>
  </si>
  <si>
    <t>29</t>
  </si>
  <si>
    <t>30</t>
  </si>
  <si>
    <t>31</t>
  </si>
  <si>
    <t>#</t>
  </si>
  <si>
    <t>Código</t>
  </si>
  <si>
    <r>
      <rPr>
        <b/>
        <color rgb="FF1155CC"/>
        <u/>
      </rPr>
      <t>Tipo De Localidad</t>
    </r>
  </si>
  <si>
    <r>
      <rPr>
        <b/>
        <color rgb="FF1155CC"/>
        <u/>
      </rPr>
      <t>Recinto(s)</t>
    </r>
  </si>
  <si>
    <r>
      <rPr>
        <b/>
        <color rgb="FF1155CC"/>
        <u/>
      </rPr>
      <t>País</t>
    </r>
  </si>
  <si>
    <r>
      <rPr>
        <b/>
        <color rgb="FF1155CC"/>
        <u/>
      </rPr>
      <t>Estado/C.Autónoma</t>
    </r>
  </si>
  <si>
    <r>
      <rPr>
        <b/>
        <color rgb="FF1155CC"/>
        <u/>
      </rPr>
      <t>Condado/Provincia</t>
    </r>
  </si>
  <si>
    <t>Presidente</t>
  </si>
  <si>
    <t>Cédula</t>
  </si>
  <si>
    <t>Celular</t>
  </si>
  <si>
    <t>Total</t>
  </si>
  <si>
    <t>Total afiliados</t>
  </si>
  <si>
    <t>Status</t>
  </si>
  <si>
    <r>
      <rPr>
        <b/>
        <color rgb="FF1155CC"/>
        <u/>
      </rPr>
      <t>Fecha</t>
    </r>
  </si>
  <si>
    <r>
      <rPr>
        <color rgb="FF1155CC"/>
        <u/>
      </rPr>
      <t>DM-EX-8-2588-2-8-2588-2</t>
    </r>
  </si>
  <si>
    <t>Exterior</t>
  </si>
  <si>
    <t>ITALIA</t>
  </si>
  <si>
    <t>MODENA</t>
  </si>
  <si>
    <t>ARONI RODRIGUEZ PEÑA</t>
  </si>
  <si>
    <t>Incompleto</t>
  </si>
  <si>
    <r>
      <rPr>
        <color rgb="FF1155CC"/>
        <u/>
      </rPr>
      <t>DM-EX-8-2575-9-8-2575-9</t>
    </r>
  </si>
  <si>
    <t>(00008) - CENTRO CIVICO NORD</t>
  </si>
  <si>
    <t>FRANCISCO ALBERTO PE¥A CONCEPCION</t>
  </si>
  <si>
    <t>Suficiente</t>
  </si>
  <si>
    <r>
      <rPr>
        <color rgb="FF1155CC"/>
        <u/>
      </rPr>
      <t>DM-EX-8-2575-9-8-2575-9</t>
    </r>
  </si>
  <si>
    <t>GEURY CASTILLO SANCHEZ</t>
  </si>
  <si>
    <r>
      <rPr>
        <color rgb="FF1155CC"/>
        <u/>
      </rPr>
      <t>DM-EX-8-2575-9-8-2575-9</t>
    </r>
  </si>
  <si>
    <t>PEDRO DE LEON SANCHEZ</t>
  </si>
  <si>
    <t>348-051-1672</t>
  </si>
  <si>
    <r>
      <rPr>
        <color rgb="FF1155CC"/>
        <u/>
      </rPr>
      <t>DM-EX-8-2534-6-8-2534-6</t>
    </r>
  </si>
  <si>
    <t>MANOLO INFANTE PERALTA</t>
  </si>
  <si>
    <t>370-300-7725</t>
  </si>
  <si>
    <r>
      <rPr>
        <color rgb="FF1155CC"/>
        <u/>
      </rPr>
      <t>DM-EX-8-2575-9-8-2575-9</t>
    </r>
  </si>
  <si>
    <t>JUANA MARIA RAMOS FERNANDEZ</t>
  </si>
  <si>
    <r>
      <rPr>
        <color rgb="FF1155CC"/>
        <u/>
      </rPr>
      <t>DM-EX-8-2534-6-8-2534-6</t>
    </r>
  </si>
  <si>
    <t>-</t>
  </si>
  <si>
    <t>YAJAIRA MIGUELINA DE LA ROSA ESPINAL</t>
  </si>
  <si>
    <t>340-300-6754</t>
  </si>
  <si>
    <t>Completo</t>
  </si>
  <si>
    <r>
      <rPr>
        <color rgb="FF1155CC"/>
        <u/>
      </rPr>
      <t>DM-EX-8-2587-11-8-2587-11</t>
    </r>
  </si>
  <si>
    <t>MILANO</t>
  </si>
  <si>
    <t>ABBIATEGRASSO</t>
  </si>
  <si>
    <t>JEAN CARLOS DE LOS SANTOS MATEO</t>
  </si>
  <si>
    <t>01139349080334463</t>
  </si>
  <si>
    <r>
      <rPr>
        <color rgb="FF1155CC"/>
        <u/>
      </rPr>
      <t>DM-EX-8-2587-11-8-2587-11</t>
    </r>
  </si>
  <si>
    <t>GELDY MARIA TIBURCIO MONEGRO</t>
  </si>
  <si>
    <t>371-639-2946</t>
  </si>
  <si>
    <r>
      <rPr>
        <color rgb="FF1155CC"/>
        <u/>
      </rPr>
      <t>DM-EX-8-2534-6-8-2534-6</t>
    </r>
  </si>
  <si>
    <t>MARISOL DE LA ROSA FERNANDEZ</t>
  </si>
  <si>
    <r>
      <rPr>
        <color rgb="FF1155CC"/>
        <u/>
      </rPr>
      <t>DM-EX-8-2615-6-8-2615-6</t>
    </r>
  </si>
  <si>
    <t>(00012) - INSTITUTO FIGLIE DE NOSTRA SIGNORA AL MONTE CALVARIO</t>
  </si>
  <si>
    <t>JOSE LUIS ARAUJO</t>
  </si>
  <si>
    <t>01139-327-296-8768</t>
  </si>
  <si>
    <r>
      <rPr>
        <color rgb="FF1155CC"/>
        <u/>
      </rPr>
      <t>DM-EX-8-2615-6-8-2615-6</t>
    </r>
  </si>
  <si>
    <t>FRANKLIN RAMIREZ SORIANO</t>
  </si>
  <si>
    <r>
      <rPr>
        <color rgb="FF1155CC"/>
        <u/>
      </rPr>
      <t>DM-EX-8-2535-4-8-2535-4</t>
    </r>
  </si>
  <si>
    <t>(00004) - BIBLIOTECA PUBBLICA DI VILLA TACCHI</t>
  </si>
  <si>
    <t>AOSTA</t>
  </si>
  <si>
    <t>EVELYN DESIRET DE JESUS</t>
  </si>
  <si>
    <r>
      <rPr>
        <color rgb="FF1155CC"/>
        <u/>
      </rPr>
      <t>DM-EX-8-2535-4-8-2535-4</t>
    </r>
  </si>
  <si>
    <t>OSCAR ELIZANDRO GOMEZ CASTILLO</t>
  </si>
  <si>
    <t>345-917-6671</t>
  </si>
  <si>
    <r>
      <rPr>
        <color rgb="FF1155CC"/>
        <u/>
      </rPr>
      <t>DM-EX-8-2575-9-8-2575-9</t>
    </r>
  </si>
  <si>
    <t>EDWIN MOREL</t>
  </si>
  <si>
    <r>
      <rPr>
        <color rgb="FF1155CC"/>
        <u/>
      </rPr>
      <t>DM-EX-8-2544-3-8-2544-3</t>
    </r>
  </si>
  <si>
    <t>LUZ MARIA CANELA CORPORAN</t>
  </si>
  <si>
    <r>
      <rPr>
        <color rgb="FF1155CC"/>
        <u/>
      </rPr>
      <t>DM-EX-8-2557-4-8-2557-4</t>
    </r>
  </si>
  <si>
    <t>(00007) - CENTRO CIVICO</t>
  </si>
  <si>
    <t>ALTAGRACIA MERCEDES RODRIGUEZ MATOS DE SANCHEZ</t>
  </si>
  <si>
    <r>
      <rPr>
        <color rgb="FF1155CC"/>
        <u/>
      </rPr>
      <t>DM-EX-8-2546-2-8-2546-2</t>
    </r>
  </si>
  <si>
    <t>(00009) - HOTEL GREEN PARK BOLOGNA</t>
  </si>
  <si>
    <t>MAXIMO VALDEZ MARTES</t>
  </si>
  <si>
    <r>
      <rPr>
        <color rgb="FF1155CC"/>
        <u/>
      </rPr>
      <t>DM-EX-8-2557-4-8-2557-4</t>
    </r>
  </si>
  <si>
    <t>VINCENT JOSUE SANTANA BATISTA</t>
  </si>
  <si>
    <r>
      <rPr>
        <color rgb="FF1155CC"/>
        <u/>
      </rPr>
      <t>DM-EX-8-2622-4-8-2622-4</t>
    </r>
  </si>
  <si>
    <t>SONDRIO</t>
  </si>
  <si>
    <t>IVETTE MERCEDES SAINT FORT</t>
  </si>
  <si>
    <r>
      <rPr>
        <color rgb="FF1155CC"/>
        <u/>
      </rPr>
      <t>DM-EX-8-2575-9-8-2575-9</t>
    </r>
  </si>
  <si>
    <t>EDUVIGIS DIAZ CABA</t>
  </si>
  <si>
    <r>
      <rPr>
        <color rgb="FF1155CC"/>
        <u/>
      </rPr>
      <t>DM-EX-8-2569-3-8-2569-3</t>
    </r>
  </si>
  <si>
    <t>VICTOR ANIBAL BELTRE ROMERO</t>
  </si>
  <si>
    <r>
      <rPr>
        <color rgb="FF1155CC"/>
        <u/>
      </rPr>
      <t>DM-EX-8-2587-11-8-2587-11</t>
    </r>
  </si>
  <si>
    <t>(00006) - CASCINA TURRO</t>
  </si>
  <si>
    <t>DAURY SANTIAGO REYES JAQUEZ</t>
  </si>
  <si>
    <r>
      <rPr>
        <color rgb="FF1155CC"/>
        <u/>
      </rPr>
      <t>DM-EX-8-2569-3-8-2569-3</t>
    </r>
  </si>
  <si>
    <t>(00010) - CIRCOLO DELLA AUTORITA PORTUALE</t>
  </si>
  <si>
    <t>JAIME GABRIEL MANZUETA</t>
  </si>
  <si>
    <t>347-839-2153</t>
  </si>
  <si>
    <r>
      <rPr>
        <color rgb="FF1155CC"/>
        <u/>
      </rPr>
      <t>DM-EX-8-2575-9-8-2575-9</t>
    </r>
  </si>
  <si>
    <t>RAFAEL ANTONIO MENDOZA ROSARIO</t>
  </si>
  <si>
    <r>
      <rPr>
        <color rgb="FF1155CC"/>
        <u/>
      </rPr>
      <t>DM-EX-8-2587-11-8-2587-11</t>
    </r>
  </si>
  <si>
    <t>(00003) - AUDITURIO CAM,
 (00006) - CASCINA TURRO</t>
  </si>
  <si>
    <t>GLADYS MARIA HENRIQUEZ</t>
  </si>
  <si>
    <r>
      <rPr>
        <color rgb="FF1155CC"/>
        <u/>
      </rPr>
      <t>DM-EX-8-2589-2-8-2589-2</t>
    </r>
  </si>
  <si>
    <t>(00001) - ANFITEATRO MARTESANA</t>
  </si>
  <si>
    <t>MONZA</t>
  </si>
  <si>
    <t>PABLO MARINO TAVAREZ UREÑA</t>
  </si>
  <si>
    <r>
      <rPr>
        <color rgb="FF1155CC"/>
        <u/>
      </rPr>
      <t>DM-EX-8-2587-11-8-2587-11</t>
    </r>
  </si>
  <si>
    <t>(00006) - CASCINA TURRO,
 (00003) - AUDITURIO CAM</t>
  </si>
  <si>
    <t>JOSE RAMON MENDOZA PORTES</t>
  </si>
  <si>
    <t>393-515-21946</t>
  </si>
  <si>
    <r>
      <rPr>
        <color rgb="FF1155CC"/>
        <u/>
      </rPr>
      <t>DM-EX-8-2580-2-8-2580-2</t>
    </r>
  </si>
  <si>
    <t>(00011) - ISTITUTO SADRA</t>
  </si>
  <si>
    <t>LODI</t>
  </si>
  <si>
    <t>MARTINA NOVA ARIAS DE RAVEGGI</t>
  </si>
  <si>
    <t>349-840-9907</t>
  </si>
  <si>
    <r>
      <rPr>
        <color rgb="FF1155CC"/>
        <u/>
      </rPr>
      <t>DM-EX-8-2622-4-8-2622-4</t>
    </r>
  </si>
  <si>
    <t>DOMINGO ANTONIO REYES ROSARIO</t>
  </si>
  <si>
    <r>
      <rPr>
        <color rgb="FF1155CC"/>
        <u/>
      </rPr>
      <t>DM-EX-8-2565-2-8-2565-2</t>
    </r>
  </si>
  <si>
    <t>(00013) - LOCAL LE MURATE</t>
  </si>
  <si>
    <t>LEA DEL ROSARIO DIONICIO MONTERO</t>
  </si>
  <si>
    <r>
      <rPr>
        <color rgb="FF1155CC"/>
        <u/>
      </rPr>
      <t>DM-EX-8-2544-3-8-2544-3</t>
    </r>
  </si>
  <si>
    <t>MILSON RADAMES PEÑA MENDEZ</t>
  </si>
  <si>
    <r>
      <rPr>
        <color rgb="FF1155CC"/>
        <u/>
      </rPr>
      <t>DM-EX-8-2535-4-8-2535-4</t>
    </r>
  </si>
  <si>
    <t>SANTO GUILLERMO SANCHEZ ASTWOOD</t>
  </si>
  <si>
    <r>
      <rPr>
        <color rgb="FF1155CC"/>
        <u/>
      </rPr>
      <t>DM-EX-8-2587-11-8-2587-11</t>
    </r>
  </si>
  <si>
    <t>RAFAEL ALEJANDRO VARGAS DIAZ</t>
  </si>
  <si>
    <r>
      <rPr>
        <color rgb="FF1155CC"/>
        <u/>
      </rPr>
      <t>DM-EX-8-2587-11-8-2587-11</t>
    </r>
  </si>
  <si>
    <t>FRANCISCO ALBERTO TRINIDAD RIVAS</t>
  </si>
  <si>
    <t>389-885-2859</t>
  </si>
  <si>
    <r>
      <rPr>
        <color rgb="FF1155CC"/>
        <u/>
      </rPr>
      <t>DM-EX-8-2587-11-8-2587-11</t>
    </r>
  </si>
  <si>
    <r>
      <rPr>
        <color rgb="FF1155CC"/>
        <u/>
      </rPr>
      <t>DM-EX-8-2630-4-8-2630-4</t>
    </r>
  </si>
  <si>
    <t>(00018) - PARROCCHIA DI CRISTO RE IN SELVANA</t>
  </si>
  <si>
    <t>HAILYN YASMIN MERCEDES CORNIELLE</t>
  </si>
  <si>
    <t>349-791-0680</t>
  </si>
  <si>
    <r>
      <rPr>
        <color rgb="FF1155CC"/>
        <u/>
      </rPr>
      <t>DM-EX-8-2599-2-8-2599-2</t>
    </r>
  </si>
  <si>
    <t>JOSE LUIS ABREU MENDOZA</t>
  </si>
  <si>
    <r>
      <rPr>
        <color rgb="FF1155CC"/>
        <u/>
      </rPr>
      <t>DM-EX-8-2587-11-8-2587-11</t>
    </r>
  </si>
  <si>
    <t>RAMON AUGUSTO OGANDO ROSARIO</t>
  </si>
  <si>
    <r>
      <rPr>
        <color rgb="FF1155CC"/>
        <u/>
      </rPr>
      <t>DM-EX-8-2534-6-8-2534-6</t>
    </r>
  </si>
  <si>
    <t>() - ,
 () -</t>
  </si>
  <si>
    <t>ALEISI FELIZ CARDERON</t>
  </si>
  <si>
    <t>809-719-5284</t>
  </si>
  <si>
    <r>
      <rPr>
        <color rgb="FF1155CC"/>
        <u/>
      </rPr>
      <t>DM-EX-8-2534-6-8-2534-6</t>
    </r>
  </si>
  <si>
    <t>() -</t>
  </si>
  <si>
    <t>YURKIN ANTONIO VOLQUEZ DIAZ</t>
  </si>
  <si>
    <t>351 662 4910</t>
  </si>
  <si>
    <r>
      <rPr>
        <color rgb="FF1155CC"/>
        <u/>
      </rPr>
      <t>DM-EX-8-2587-11-8-2587-11</t>
    </r>
  </si>
  <si>
    <t>NURY VILORIO DE LA CRUZ</t>
  </si>
  <si>
    <r>
      <rPr>
        <color rgb="FF1155CC"/>
        <u/>
      </rPr>
      <t>DM-EX-8-2622-4-8-2622-4</t>
    </r>
  </si>
  <si>
    <t>JUNIOR GABRIEL GOMEZ GABRIEL</t>
  </si>
  <si>
    <r>
      <rPr>
        <color rgb="FF1155CC"/>
        <u/>
      </rPr>
      <t>DM-EX-8-2630-4-8-2630-4</t>
    </r>
  </si>
  <si>
    <t>MONTEBELLUNA</t>
  </si>
  <si>
    <t>WANDA JANSI MERCEDES CORNIELLE</t>
  </si>
  <si>
    <r>
      <rPr>
        <color rgb="FF1155CC"/>
        <u/>
      </rPr>
      <t>DM-EX-8-2615-6-8-2615-6</t>
    </r>
  </si>
  <si>
    <t>ROMERY LOPEZ ABREU</t>
  </si>
  <si>
    <t>01139-366-392-8679</t>
  </si>
  <si>
    <r>
      <rPr>
        <color rgb="FF1155CC"/>
        <u/>
      </rPr>
      <t>DM-EX-8-2615-6-8-2615-6</t>
    </r>
  </si>
  <si>
    <t>JUANA LEBRON VARGAS</t>
  </si>
  <si>
    <r>
      <rPr>
        <color rgb="FF1155CC"/>
        <u/>
      </rPr>
      <t>DM-EX-8-2575-9-8-2575-9</t>
    </r>
  </si>
  <si>
    <t>(00017) - SALA BAR GAMBRINUS</t>
  </si>
  <si>
    <t>MARIA CRISTINA POLANCO MENDOZA</t>
  </si>
  <si>
    <t>039-345-5906358</t>
  </si>
  <si>
    <r>
      <rPr>
        <color rgb="FF1155CC"/>
        <u/>
      </rPr>
      <t>DM-EX-8-2615-6-8-2615-6</t>
    </r>
  </si>
  <si>
    <t>JACOBO ARNAUD CASTILLO</t>
  </si>
  <si>
    <t>345-823-8756</t>
  </si>
  <si>
    <r>
      <rPr>
        <color rgb="FF1155CC"/>
        <u/>
      </rPr>
      <t>DM-EX-8-2557-4-8-2557-4</t>
    </r>
  </si>
  <si>
    <t>LUIS SANCHEZ</t>
  </si>
  <si>
    <t>345-891-6817</t>
  </si>
  <si>
    <t>ww</t>
  </si>
  <si>
    <t>RECINTOS ELECTORALES OCLEE DE HOLANDA 2024</t>
  </si>
  <si>
    <t>PAÍS</t>
  </si>
  <si>
    <t>BERGICA===</t>
  </si>
  <si>
    <t>00054</t>
  </si>
  <si>
    <t>CONSULADO GENERAL DE LA REP. DOM</t>
  </si>
  <si>
    <t>AMBERES</t>
  </si>
  <si>
    <t>Koningin Astridplein No.7, Amberes</t>
  </si>
  <si>
    <t>00057</t>
  </si>
  <si>
    <t>EMBAJADA DE REPÚBLICA DOMINICANA EN BELGICA</t>
  </si>
  <si>
    <t>BRUSELAS</t>
  </si>
  <si>
    <t>Rue de la Loi No.75B-1040, Bruselas.</t>
  </si>
  <si>
    <t>0217 Y 0218</t>
  </si>
  <si>
    <t>AUSTRIA===</t>
  </si>
  <si>
    <t>00055</t>
  </si>
  <si>
    <t>EMBAJADA DE LA REP. DOM. EN AUSTRIA</t>
  </si>
  <si>
    <t>VIENA</t>
  </si>
  <si>
    <t>Prinz Eugen StraBe No.18, Viena.</t>
  </si>
  <si>
    <t>0214 Y 0215</t>
  </si>
  <si>
    <t>ALEMANIA===</t>
  </si>
  <si>
    <t>00053</t>
  </si>
  <si>
    <t>CONSULADO DE LA REP.DOMINICANA</t>
  </si>
  <si>
    <t>HAMBURGO</t>
  </si>
  <si>
    <t>Neuer Wall No.39, Hamburgo</t>
  </si>
  <si>
    <t>0211 Y 0212</t>
  </si>
  <si>
    <t>00056</t>
  </si>
  <si>
    <t>EMBAJADA DE LA REP.DOMINICANA EN BERLIN</t>
  </si>
  <si>
    <t>BERLIN</t>
  </si>
  <si>
    <t>KnesebeckstraBe No.61A, Berlín</t>
  </si>
  <si>
    <t>0216</t>
  </si>
  <si>
    <t>00059</t>
  </si>
  <si>
    <t>INSTITUTO CERVANTES</t>
  </si>
  <si>
    <t>FRANKFURT AM MAIN</t>
  </si>
  <si>
    <t>Staifemstr No.1, Frankfurt am Main</t>
  </si>
  <si>
    <t>0220,0221,0222 Y 0223</t>
  </si>
  <si>
    <t>LUXEMBURGO===</t>
  </si>
  <si>
    <t>00060</t>
  </si>
  <si>
    <t>K.C. EPICERIA - CENTRE CULTUREL SOCIÉTAIRE GARE</t>
  </si>
  <si>
    <t>LUXEMBURGO</t>
  </si>
  <si>
    <t>29, rue de Strasbourg L-1839 Luxembourg</t>
  </si>
  <si>
    <t>0224</t>
  </si>
  <si>
    <t>PAISES BAJOS===</t>
  </si>
  <si>
    <t>00058</t>
  </si>
  <si>
    <t>EMBAJADA DOMINICANA EN LA HAYA - Babylon Hotel</t>
  </si>
  <si>
    <t>DEN HAAG</t>
  </si>
  <si>
    <t>Bezuidenhoutseweg 53, 2594AC</t>
  </si>
  <si>
    <t>0219</t>
  </si>
  <si>
    <t>00061</t>
  </si>
  <si>
    <t>MBO COLLEGE ZUIDOOST ROC VAN AMSTERDAM</t>
  </si>
  <si>
    <t>AMSTERDAM</t>
  </si>
  <si>
    <t>Fraijtemaborg No.135 - 1102CV</t>
  </si>
  <si>
    <t>0225,0226,0227</t>
  </si>
  <si>
    <t>00062</t>
  </si>
  <si>
    <t>WMO RADAR - WMO RADAR - HUIS VAN DE WIJK MILLINXPARKHUIS</t>
  </si>
  <si>
    <t>ROTTERDAM</t>
  </si>
  <si>
    <t>Millinxstraat No.69 - 3081PE</t>
  </si>
  <si>
    <t>0228 Y 0229</t>
  </si>
  <si>
    <t>RECINTOS ELECTORALES OCLEE DE VALENCIA 2024</t>
  </si>
  <si>
    <t>00356</t>
  </si>
  <si>
    <t>CENTRO SOCIO CULTURAL CARRETAS-HUERTA DE MARZO</t>
  </si>
  <si>
    <t>ALBACETE</t>
  </si>
  <si>
    <t>C/Mayor No 73, 02002 Albacete</t>
  </si>
  <si>
    <t>00357</t>
  </si>
  <si>
    <t>COLEGIO SANTO TOMÁS DE VILLA NUEVA - PP</t>
  </si>
  <si>
    <t>VALENCIA</t>
  </si>
  <si>
    <t>C/ Albacete no 5. 46007 Valencia</t>
  </si>
  <si>
    <t>1495,1496 Y1497</t>
  </si>
  <si>
    <t>00358</t>
  </si>
  <si>
    <t xml:space="preserve">
EUROHOTEL CASTELLÓ ESTACIÓ</t>
  </si>
  <si>
    <t>CASTELLON</t>
  </si>
  <si>
    <t xml:space="preserve">C/ DE MÉNDES NÚNEZ NO. 30, 12002 CASTELLÓN </t>
  </si>
  <si>
    <t>00359</t>
  </si>
  <si>
    <t>HOTEL CATALONIA CONDE DE FLORIDA BLANCA</t>
  </si>
  <si>
    <t>MURCIA</t>
  </si>
  <si>
    <t>C/ Princesa No. 18, 30002, Murcia</t>
  </si>
  <si>
    <t>1499 Y 1500</t>
  </si>
  <si>
    <t>00360</t>
  </si>
  <si>
    <t>HOTEL EUROSTARS CENTRUM ALICANTE</t>
  </si>
  <si>
    <t>ALICANTE</t>
  </si>
  <si>
    <t>Calle Pintor Lorenzo Casanova No 33-35, 03003 Alicante</t>
  </si>
  <si>
    <t>1501 Y 1502</t>
  </si>
  <si>
    <t>00361</t>
  </si>
  <si>
    <t>S'ESCORXADOR</t>
  </si>
  <si>
    <t>PALMA DE MALLORCA</t>
  </si>
  <si>
    <t>C/ Carrer de L`Emperadriu Eugenia No. 4, 07010 Palma, llles Balears</t>
  </si>
  <si>
    <t>1503, 1504, 1505, 1506</t>
  </si>
  <si>
    <t>00362</t>
  </si>
  <si>
    <t>SANTUARIO SAN NICOLÁS DE BARI</t>
  </si>
  <si>
    <t>TERUEL</t>
  </si>
  <si>
    <t>C/Dolores Romero no. 39, 44003, Teruel</t>
  </si>
  <si>
    <t>00374</t>
  </si>
  <si>
    <t>ELLINZONA - CASA DEL POPOLO</t>
  </si>
  <si>
    <t>TICINO</t>
  </si>
  <si>
    <t>Viale Stazione 31, 6500 Bellinzona</t>
  </si>
  <si>
    <t>00375</t>
  </si>
  <si>
    <t>MBAJADA DE LA REP. DOMINICANA EN BERNA</t>
  </si>
  <si>
    <t>BERNA</t>
  </si>
  <si>
    <t>Weltpoststrasse 4, 3015, Berna</t>
  </si>
  <si>
    <t>00376</t>
  </si>
  <si>
    <t>GEMEINSCHAFTSZENTRUM i</t>
  </si>
  <si>
    <t>AARGAU</t>
  </si>
  <si>
    <t>Girixweg 12, 5000, Aarau</t>
  </si>
  <si>
    <t>00377</t>
  </si>
  <si>
    <t>MISION PERMANENTE DE LA REPUBLICA DOMINICANA</t>
  </si>
  <si>
    <t>GINEBRA</t>
  </si>
  <si>
    <t>Rue de lausanne 63, 1202, Ginebra</t>
  </si>
  <si>
    <t>00378</t>
  </si>
  <si>
    <t>OBC SUISSE</t>
  </si>
  <si>
    <t>BASEL</t>
  </si>
  <si>
    <t>Aeschengraben 29, 4051, Basel</t>
  </si>
  <si>
    <t>00379</t>
  </si>
  <si>
    <t>VOLKS HAUS</t>
  </si>
  <si>
    <t>ZÜRICH</t>
  </si>
  <si>
    <t>Volkshaus, Stauffcherstrasse 60, 8004, Zurich</t>
  </si>
  <si>
    <t>1565,1566,1567,1568 ,1569, 1570,1571.1572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</si>
</sst>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3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4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rgb="FF00B050"/>
      <name val="Calibri"/>
    </font>
    <font>
      <sz val="11.0"/>
      <color rgb="FF34A853"/>
      <name val="Calibri"/>
    </font>
    <font>
      <sz val="11.0"/>
      <color theme="7"/>
      <name val="Calibri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0B050"/>
      <name val="Arial"/>
    </font>
    <font>
      <sz val="11.0"/>
      <color theme="7"/>
      <name val="Arial"/>
    </font>
    <font>
      <sz val="11.0"/>
      <color rgb="FF34A853"/>
      <name val="Arial"/>
    </font>
    <font>
      <b/>
      <sz val="11.0"/>
      <color theme="1"/>
      <name val="Arial"/>
    </font>
    <font>
      <sz val="11.0"/>
      <color theme="1"/>
      <name val="Arial"/>
    </font>
    <font>
      <b/>
      <color theme="1"/>
      <name val="Arial"/>
      <scheme val="minor"/>
    </font>
    <font>
      <b/>
      <u/>
      <color rgb="FF0000FF"/>
    </font>
    <font>
      <u/>
      <color rgb="FF0000FF"/>
    </font>
    <font>
      <u/>
      <color rgb="FF0000FF"/>
    </font>
    <font>
      <b/>
      <sz val="11.0"/>
      <color theme="1"/>
      <name val="Calibri"/>
    </font>
    <font>
      <sz val="11.0"/>
      <color theme="1"/>
      <name val="Calibri"/>
    </font>
    <font>
      <color rgb="FF000000"/>
      <name val="Arial"/>
      <scheme val="minor"/>
    </font>
    <font>
      <sz val="11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right style="thin">
        <color rgb="FF505050"/>
      </right>
      <bottom style="thin">
        <color rgb="FF505050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49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/>
    </xf>
    <xf borderId="0" fillId="0" fontId="1" numFmtId="0" xfId="0" applyAlignment="1" applyFont="1">
      <alignment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49" xfId="0" applyAlignment="1" applyFont="1" applyNumberForma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left" readingOrder="0" vertical="bottom"/>
    </xf>
    <xf borderId="0" fillId="2" fontId="4" numFmtId="0" xfId="0" applyFont="1"/>
    <xf borderId="0" fillId="0" fontId="1" numFmtId="0" xfId="0" applyAlignment="1" applyFont="1">
      <alignment horizontal="right" readingOrder="0" shrinkToFit="0" vertical="bottom" wrapText="0"/>
    </xf>
    <xf borderId="0" fillId="0" fontId="1" numFmtId="49" xfId="0" applyAlignment="1" applyFont="1" applyNumberFormat="1">
      <alignment horizontal="right" readingOrder="0" shrinkToFit="0" vertical="bottom" wrapText="0"/>
    </xf>
    <xf borderId="1" fillId="3" fontId="3" numFmtId="0" xfId="0" applyAlignment="1" applyBorder="1" applyFill="1" applyFont="1">
      <alignment readingOrder="0" vertical="bottom"/>
    </xf>
    <xf borderId="2" fillId="4" fontId="1" numFmtId="0" xfId="0" applyAlignment="1" applyBorder="1" applyFill="1" applyFont="1">
      <alignment readingOrder="0" vertical="bottom"/>
    </xf>
    <xf borderId="2" fillId="3" fontId="3" numFmtId="0" xfId="0" applyAlignment="1" applyBorder="1" applyFont="1">
      <alignment readingOrder="0" shrinkToFit="0" vertical="bottom" wrapText="0"/>
    </xf>
    <xf borderId="2" fillId="3" fontId="5" numFmtId="0" xfId="0" applyAlignment="1" applyBorder="1" applyFont="1">
      <alignment horizontal="right" readingOrder="0" shrinkToFit="0" vertical="bottom" wrapText="0"/>
    </xf>
    <xf borderId="2" fillId="3" fontId="5" numFmtId="0" xfId="0" applyAlignment="1" applyBorder="1" applyFont="1">
      <alignment horizontal="center" readingOrder="0" shrinkToFit="0" vertical="bottom" wrapText="0"/>
    </xf>
    <xf borderId="2" fillId="3" fontId="5" numFmtId="0" xfId="0" applyAlignment="1" applyBorder="1" applyFont="1">
      <alignment horizontal="left" readingOrder="0" shrinkToFit="0" vertical="bottom" wrapText="0"/>
    </xf>
    <xf borderId="3" fillId="3" fontId="3" numFmtId="0" xfId="0" applyAlignment="1" applyBorder="1" applyFont="1">
      <alignment readingOrder="0" vertical="bottom"/>
    </xf>
    <xf borderId="4" fillId="5" fontId="1" numFmtId="0" xfId="0" applyAlignment="1" applyBorder="1" applyFill="1" applyFont="1">
      <alignment readingOrder="0" vertical="bottom"/>
    </xf>
    <xf borderId="4" fillId="3" fontId="3" numFmtId="0" xfId="0" applyAlignment="1" applyBorder="1" applyFont="1">
      <alignment readingOrder="0" shrinkToFit="0" vertical="bottom" wrapText="0"/>
    </xf>
    <xf borderId="4" fillId="3" fontId="5" numFmtId="0" xfId="0" applyAlignment="1" applyBorder="1" applyFont="1">
      <alignment horizontal="right" readingOrder="0" shrinkToFit="0" vertical="bottom" wrapText="0"/>
    </xf>
    <xf borderId="4" fillId="3" fontId="5" numFmtId="0" xfId="0" applyAlignment="1" applyBorder="1" applyFont="1">
      <alignment horizontal="center" readingOrder="0" shrinkToFit="0" vertical="bottom" wrapText="0"/>
    </xf>
    <xf borderId="4" fillId="3" fontId="5" numFmtId="0" xfId="0" applyAlignment="1" applyBorder="1" applyFont="1">
      <alignment horizontal="left" readingOrder="0" shrinkToFit="0" vertical="bottom" wrapText="0"/>
    </xf>
    <xf borderId="3" fillId="3" fontId="3" numFmtId="0" xfId="0" applyAlignment="1" applyBorder="1" applyFont="1">
      <alignment readingOrder="0" shrinkToFit="0" vertical="bottom" wrapText="0"/>
    </xf>
    <xf borderId="4" fillId="3" fontId="1" numFmtId="0" xfId="0" applyAlignment="1" applyBorder="1" applyFont="1">
      <alignment readingOrder="0" shrinkToFit="0" vertical="bottom" wrapText="0"/>
    </xf>
    <xf borderId="4" fillId="3" fontId="3" numFmtId="0" xfId="0" applyAlignment="1" applyBorder="1" applyFont="1">
      <alignment readingOrder="0" vertical="bottom"/>
    </xf>
    <xf borderId="4" fillId="3" fontId="1" numFmtId="0" xfId="0" applyAlignment="1" applyBorder="1" applyFont="1">
      <alignment readingOrder="0" vertical="bottom"/>
    </xf>
    <xf borderId="4" fillId="6" fontId="1" numFmtId="0" xfId="0" applyAlignment="1" applyBorder="1" applyFill="1" applyFont="1">
      <alignment readingOrder="0" vertical="bottom"/>
    </xf>
    <xf borderId="4" fillId="3" fontId="5" numFmtId="0" xfId="0" applyAlignment="1" applyBorder="1" applyFont="1">
      <alignment horizontal="left" readingOrder="0" vertical="bottom"/>
    </xf>
    <xf borderId="4" fillId="3" fontId="6" numFmtId="0" xfId="0" applyAlignment="1" applyBorder="1" applyFont="1">
      <alignment horizontal="right" readingOrder="0" shrinkToFit="0" vertical="bottom" wrapText="0"/>
    </xf>
    <xf borderId="4" fillId="3" fontId="7" numFmtId="0" xfId="0" applyAlignment="1" applyBorder="1" applyFont="1">
      <alignment horizontal="center" readingOrder="0" shrinkToFit="0" vertical="bottom" wrapText="0"/>
    </xf>
    <xf borderId="4" fillId="3" fontId="7" numFmtId="0" xfId="0" applyAlignment="1" applyBorder="1" applyFont="1">
      <alignment horizontal="left" readingOrder="0" shrinkToFit="0" vertical="bottom" wrapText="0"/>
    </xf>
    <xf borderId="4" fillId="3" fontId="7" numFmtId="0" xfId="0" applyAlignment="1" applyBorder="1" applyFont="1">
      <alignment horizontal="left" readingOrder="0" vertical="bottom"/>
    </xf>
    <xf borderId="0" fillId="7" fontId="1" numFmtId="0" xfId="0" applyAlignment="1" applyFill="1" applyFont="1">
      <alignment shrinkToFit="0" vertical="bottom" wrapText="0"/>
    </xf>
    <xf borderId="0" fillId="7" fontId="1" numFmtId="49" xfId="0" applyAlignment="1" applyFont="1" applyNumberFormat="1">
      <alignment shrinkToFit="0" vertical="bottom" wrapText="0"/>
    </xf>
    <xf borderId="0" fillId="7" fontId="3" numFmtId="0" xfId="0" applyAlignment="1" applyFont="1">
      <alignment shrinkToFit="0" vertical="bottom" wrapText="0"/>
    </xf>
    <xf borderId="0" fillId="7" fontId="1" numFmtId="0" xfId="0" applyAlignment="1" applyFont="1">
      <alignment horizontal="right" readingOrder="0" shrinkToFit="0" vertical="bottom" wrapText="0"/>
    </xf>
    <xf borderId="0" fillId="7" fontId="1" numFmtId="0" xfId="0" applyAlignment="1" applyFont="1">
      <alignment horizontal="center" readingOrder="0" shrinkToFit="0" vertical="bottom" wrapText="0"/>
    </xf>
    <xf borderId="0" fillId="7" fontId="3" numFmtId="0" xfId="0" applyAlignment="1" applyFont="1">
      <alignment horizontal="left" shrinkToFit="0" vertical="bottom" wrapText="0"/>
    </xf>
    <xf borderId="0" fillId="7" fontId="4" numFmtId="0" xfId="0" applyFont="1"/>
    <xf borderId="0" fillId="0" fontId="4" numFmtId="49" xfId="0" applyFont="1" applyNumberFormat="1"/>
    <xf borderId="0" fillId="0" fontId="4" numFmtId="0" xfId="0" applyAlignment="1" applyFont="1">
      <alignment horizontal="left"/>
    </xf>
    <xf borderId="0" fillId="0" fontId="3" numFmtId="49" xfId="0" applyAlignment="1" applyFont="1" applyNumberFormat="1">
      <alignment horizontal="left" shrinkToFit="0" vertical="bottom" wrapText="0"/>
    </xf>
    <xf borderId="0" fillId="2" fontId="1" numFmtId="49" xfId="0" applyAlignment="1" applyFont="1" applyNumberFormat="1">
      <alignment horizontal="left" readingOrder="0" vertical="bottom"/>
    </xf>
    <xf borderId="2" fillId="3" fontId="1" numFmtId="0" xfId="0" applyAlignment="1" applyBorder="1" applyFont="1">
      <alignment readingOrder="0" vertical="bottom"/>
    </xf>
    <xf borderId="2" fillId="3" fontId="5" numFmtId="49" xfId="0" applyAlignment="1" applyBorder="1" applyFont="1" applyNumberFormat="1">
      <alignment horizontal="left" readingOrder="0" shrinkToFit="0" vertical="bottom" wrapText="0"/>
    </xf>
    <xf borderId="4" fillId="3" fontId="5" numFmtId="49" xfId="0" applyAlignment="1" applyBorder="1" applyFont="1" applyNumberFormat="1">
      <alignment horizontal="left" readingOrder="0" shrinkToFit="0" vertical="bottom" wrapText="0"/>
    </xf>
    <xf borderId="4" fillId="3" fontId="5" numFmtId="49" xfId="0" applyAlignment="1" applyBorder="1" applyFont="1" applyNumberFormat="1">
      <alignment horizontal="left" readingOrder="0" vertical="bottom"/>
    </xf>
    <xf borderId="4" fillId="3" fontId="7" numFmtId="49" xfId="0" applyAlignment="1" applyBorder="1" applyFont="1" applyNumberFormat="1">
      <alignment horizontal="left" readingOrder="0" shrinkToFit="0" vertical="bottom" wrapText="0"/>
    </xf>
    <xf borderId="4" fillId="3" fontId="6" numFmtId="0" xfId="0" applyAlignment="1" applyBorder="1" applyFont="1">
      <alignment horizontal="center" readingOrder="0" shrinkToFit="0" vertical="bottom" wrapText="0"/>
    </xf>
    <xf borderId="4" fillId="3" fontId="6" numFmtId="49" xfId="0" applyAlignment="1" applyBorder="1" applyFont="1" applyNumberFormat="1">
      <alignment horizontal="left" readingOrder="0" shrinkToFit="0" vertical="bottom" wrapText="0"/>
    </xf>
    <xf borderId="0" fillId="7" fontId="4" numFmtId="49" xfId="0" applyFont="1" applyNumberFormat="1"/>
    <xf borderId="0" fillId="7" fontId="4" numFmtId="0" xfId="0" applyAlignment="1" applyFont="1">
      <alignment horizontal="right"/>
    </xf>
    <xf borderId="0" fillId="7" fontId="4" numFmtId="0" xfId="0" applyAlignment="1" applyFont="1">
      <alignment horizontal="center"/>
    </xf>
    <xf borderId="0" fillId="7" fontId="4" numFmtId="49" xfId="0" applyAlignment="1" applyFont="1" applyNumberFormat="1">
      <alignment horizontal="left"/>
    </xf>
    <xf borderId="0" fillId="0" fontId="4" numFmtId="49" xfId="0" applyAlignment="1" applyFont="1" applyNumberFormat="1">
      <alignment horizontal="left"/>
    </xf>
    <xf borderId="0" fillId="0" fontId="1" numFmtId="49" xfId="0" applyAlignment="1" applyFont="1" applyNumberFormat="1">
      <alignment horizontal="center" readingOrder="0" shrinkToFit="0" vertical="bottom" wrapText="0"/>
    </xf>
    <xf borderId="0" fillId="0" fontId="3" numFmtId="1" xfId="0" applyAlignment="1" applyFont="1" applyNumberFormat="1">
      <alignment horizontal="center"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2" fontId="8" numFmtId="49" xfId="0" applyAlignment="1" applyFont="1" applyNumberFormat="1">
      <alignment shrinkToFit="0" vertical="bottom" wrapText="1"/>
    </xf>
    <xf borderId="0" fillId="2" fontId="8" numFmtId="49" xfId="0" applyAlignment="1" applyFont="1" applyNumberFormat="1">
      <alignment horizontal="center" readingOrder="0" shrinkToFit="0" vertical="bottom" wrapText="1"/>
    </xf>
    <xf borderId="0" fillId="2" fontId="8" numFmtId="1" xfId="0" applyAlignment="1" applyFont="1" applyNumberFormat="1">
      <alignment horizontal="center" readingOrder="0" shrinkToFit="0" vertical="bottom" wrapText="1"/>
    </xf>
    <xf borderId="0" fillId="2" fontId="8" numFmtId="49" xfId="0" applyAlignment="1" applyFont="1" applyNumberFormat="1">
      <alignment horizontal="left" readingOrder="0" shrinkToFit="0" vertical="bottom" wrapText="1"/>
    </xf>
    <xf borderId="0" fillId="0" fontId="8" numFmtId="49" xfId="0" applyAlignment="1" applyFont="1" applyNumberFormat="1">
      <alignment horizontal="right" readingOrder="0" shrinkToFit="0" vertical="bottom" wrapText="1"/>
    </xf>
    <xf borderId="3" fillId="3" fontId="9" numFmtId="49" xfId="0" applyAlignment="1" applyBorder="1" applyFont="1" applyNumberFormat="1">
      <alignment readingOrder="0" shrinkToFit="0" vertical="bottom" wrapText="1"/>
    </xf>
    <xf borderId="4" fillId="3" fontId="8" numFmtId="49" xfId="0" applyAlignment="1" applyBorder="1" applyFont="1" applyNumberFormat="1">
      <alignment readingOrder="0" shrinkToFit="0" vertical="bottom" wrapText="1"/>
    </xf>
    <xf borderId="4" fillId="3" fontId="9" numFmtId="49" xfId="0" applyAlignment="1" applyBorder="1" applyFont="1" applyNumberFormat="1">
      <alignment readingOrder="0" shrinkToFit="0" vertical="bottom" wrapText="1"/>
    </xf>
    <xf borderId="4" fillId="3" fontId="10" numFmtId="1" xfId="0" applyAlignment="1" applyBorder="1" applyFont="1" applyNumberFormat="1">
      <alignment horizontal="right" readingOrder="0" shrinkToFit="0" vertical="bottom" wrapText="1"/>
    </xf>
    <xf borderId="4" fillId="3" fontId="10" numFmtId="1" xfId="0" applyAlignment="1" applyBorder="1" applyFont="1" applyNumberFormat="1">
      <alignment horizontal="center" readingOrder="0" shrinkToFit="0" vertical="bottom" wrapText="1"/>
    </xf>
    <xf borderId="4" fillId="3" fontId="10" numFmtId="49" xfId="0" applyAlignment="1" applyBorder="1" applyFont="1" applyNumberFormat="1">
      <alignment horizontal="left" readingOrder="0" shrinkToFit="0" vertical="bottom" wrapText="1"/>
    </xf>
    <xf borderId="4" fillId="3" fontId="11" numFmtId="1" xfId="0" applyAlignment="1" applyBorder="1" applyFont="1" applyNumberFormat="1">
      <alignment horizontal="center" readingOrder="0" shrinkToFit="0" vertical="bottom" wrapText="1"/>
    </xf>
    <xf borderId="4" fillId="3" fontId="12" numFmtId="49" xfId="0" applyAlignment="1" applyBorder="1" applyFont="1" applyNumberFormat="1">
      <alignment horizontal="left" readingOrder="0" shrinkToFit="0" vertical="bottom" wrapText="1"/>
    </xf>
    <xf borderId="0" fillId="8" fontId="13" numFmtId="49" xfId="0" applyAlignment="1" applyFill="1" applyFont="1" applyNumberFormat="1">
      <alignment horizontal="right" readingOrder="0" shrinkToFit="0" vertical="bottom" wrapText="1"/>
    </xf>
    <xf borderId="3" fillId="3" fontId="14" numFmtId="49" xfId="0" applyAlignment="1" applyBorder="1" applyFont="1" applyNumberFormat="1">
      <alignment readingOrder="0" shrinkToFit="0" vertical="bottom" wrapText="1"/>
    </xf>
    <xf borderId="4" fillId="3" fontId="13" numFmtId="49" xfId="0" applyAlignment="1" applyBorder="1" applyFont="1" applyNumberFormat="1">
      <alignment readingOrder="0" shrinkToFit="0" vertical="bottom" wrapText="1"/>
    </xf>
    <xf borderId="4" fillId="3" fontId="14" numFmtId="49" xfId="0" applyAlignment="1" applyBorder="1" applyFont="1" applyNumberFormat="1">
      <alignment readingOrder="0" shrinkToFit="0" vertical="bottom" wrapText="1"/>
    </xf>
    <xf borderId="4" fillId="3" fontId="14" numFmtId="1" xfId="0" applyAlignment="1" applyBorder="1" applyFont="1" applyNumberFormat="1">
      <alignment horizontal="right" readingOrder="0" shrinkToFit="0" vertical="bottom" wrapText="1"/>
    </xf>
    <xf borderId="4" fillId="3" fontId="14" numFmtId="1" xfId="0" applyAlignment="1" applyBorder="1" applyFont="1" applyNumberFormat="1">
      <alignment horizontal="center" readingOrder="0" shrinkToFit="0" vertical="bottom" wrapText="1"/>
    </xf>
    <xf borderId="4" fillId="3" fontId="14" numFmtId="49" xfId="0" applyAlignment="1" applyBorder="1" applyFont="1" applyNumberFormat="1">
      <alignment horizontal="left" readingOrder="0" shrinkToFit="0" vertical="bottom" wrapText="1"/>
    </xf>
    <xf borderId="0" fillId="8" fontId="4" numFmtId="0" xfId="0" applyFont="1"/>
    <xf borderId="0" fillId="9" fontId="13" numFmtId="49" xfId="0" applyAlignment="1" applyFill="1" applyFont="1" applyNumberFormat="1">
      <alignment horizontal="right" readingOrder="0" shrinkToFit="0" vertical="bottom" wrapText="1"/>
    </xf>
    <xf borderId="0" fillId="9" fontId="4" numFmtId="0" xfId="0" applyFont="1"/>
    <xf borderId="0" fillId="0" fontId="13" numFmtId="49" xfId="0" applyAlignment="1" applyFont="1" applyNumberFormat="1">
      <alignment horizontal="right" readingOrder="0" shrinkToFit="0" vertical="bottom" wrapText="1"/>
    </xf>
    <xf borderId="0" fillId="0" fontId="4" numFmtId="0" xfId="0" applyFont="1"/>
    <xf borderId="0" fillId="7" fontId="8" numFmtId="49" xfId="0" applyAlignment="1" applyFont="1" applyNumberFormat="1">
      <alignment horizontal="right" readingOrder="0" shrinkToFit="0" vertical="bottom" wrapText="1"/>
    </xf>
    <xf borderId="0" fillId="7" fontId="8" numFmtId="49" xfId="0" applyAlignment="1" applyFont="1" applyNumberFormat="1">
      <alignment shrinkToFit="0" vertical="bottom" wrapText="1"/>
    </xf>
    <xf borderId="0" fillId="7" fontId="9" numFmtId="49" xfId="0" applyAlignment="1" applyFont="1" applyNumberFormat="1">
      <alignment shrinkToFit="0" vertical="bottom" wrapText="1"/>
    </xf>
    <xf borderId="0" fillId="7" fontId="8" numFmtId="1" xfId="0" applyAlignment="1" applyFont="1" applyNumberFormat="1">
      <alignment horizontal="right" readingOrder="0" shrinkToFit="0" vertical="bottom" wrapText="1"/>
    </xf>
    <xf borderId="0" fillId="7" fontId="8" numFmtId="1" xfId="0" applyAlignment="1" applyFont="1" applyNumberFormat="1">
      <alignment horizontal="center" readingOrder="0" shrinkToFit="0" vertical="bottom" wrapText="1"/>
    </xf>
    <xf borderId="0" fillId="7" fontId="9" numFmtId="49" xfId="0" applyAlignment="1" applyFont="1" applyNumberFormat="1">
      <alignment horizontal="left" shrinkToFit="0" vertical="bottom" wrapText="1"/>
    </xf>
    <xf borderId="0" fillId="0" fontId="4" numFmtId="1" xfId="0" applyFont="1" applyNumberFormat="1"/>
    <xf borderId="0" fillId="0" fontId="15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18" numFmtId="0" xfId="0" applyAlignment="1" applyFont="1">
      <alignment readingOrder="0" shrinkToFit="0" wrapText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10" fontId="1" numFmtId="0" xfId="0" applyAlignment="1" applyFill="1" applyFont="1">
      <alignment horizontal="right" readingOrder="0" shrinkToFit="0" vertical="bottom" wrapText="0"/>
    </xf>
    <xf borderId="0" fillId="10" fontId="1" numFmtId="49" xfId="0" applyAlignment="1" applyFont="1" applyNumberFormat="1">
      <alignment horizontal="right" readingOrder="0" shrinkToFit="0" vertical="bottom" wrapText="0"/>
    </xf>
    <xf borderId="0" fillId="10" fontId="3" numFmtId="0" xfId="0" applyAlignment="1" applyFont="1">
      <alignment readingOrder="0" vertical="bottom"/>
    </xf>
    <xf borderId="0" fillId="10" fontId="1" numFmtId="0" xfId="0" applyAlignment="1" applyFont="1">
      <alignment readingOrder="0" vertical="bottom"/>
    </xf>
    <xf borderId="0" fillId="10" fontId="3" numFmtId="0" xfId="0" applyAlignment="1" applyFont="1">
      <alignment readingOrder="0" shrinkToFit="0" vertical="bottom" wrapText="0"/>
    </xf>
    <xf borderId="0" fillId="10" fontId="5" numFmtId="0" xfId="0" applyAlignment="1" applyFont="1">
      <alignment horizontal="right" readingOrder="0" shrinkToFit="0" vertical="bottom" wrapText="0"/>
    </xf>
    <xf borderId="0" fillId="10" fontId="5" numFmtId="0" xfId="0" applyAlignment="1" applyFont="1">
      <alignment horizontal="center" readingOrder="0" shrinkToFit="0" vertical="bottom" wrapText="0"/>
    </xf>
    <xf borderId="0" fillId="10" fontId="5" numFmtId="0" xfId="0" applyAlignment="1" applyFont="1">
      <alignment horizontal="left" readingOrder="0" shrinkToFit="0" vertical="bottom" wrapText="0"/>
    </xf>
    <xf borderId="0" fillId="10" fontId="4" numFmtId="0" xfId="0" applyFont="1"/>
    <xf borderId="0" fillId="10" fontId="19" numFmtId="0" xfId="0" applyAlignment="1" applyFont="1">
      <alignment horizontal="right" readingOrder="0" shrinkToFit="0" vertical="bottom" wrapText="0"/>
    </xf>
    <xf borderId="0" fillId="10" fontId="19" numFmtId="49" xfId="0" applyAlignment="1" applyFont="1" applyNumberFormat="1">
      <alignment horizontal="right" readingOrder="0" shrinkToFit="0" vertical="bottom" wrapText="0"/>
    </xf>
    <xf borderId="3" fillId="10" fontId="20" numFmtId="0" xfId="0" applyAlignment="1" applyBorder="1" applyFont="1">
      <alignment readingOrder="0" vertical="bottom"/>
    </xf>
    <xf borderId="4" fillId="10" fontId="19" numFmtId="0" xfId="0" applyAlignment="1" applyBorder="1" applyFont="1">
      <alignment readingOrder="0" vertical="bottom"/>
    </xf>
    <xf borderId="4" fillId="10" fontId="20" numFmtId="0" xfId="0" applyAlignment="1" applyBorder="1" applyFont="1">
      <alignment readingOrder="0" shrinkToFit="0" vertical="bottom" wrapText="0"/>
    </xf>
    <xf borderId="4" fillId="10" fontId="20" numFmtId="0" xfId="0" applyAlignment="1" applyBorder="1" applyFont="1">
      <alignment horizontal="right" readingOrder="0" shrinkToFit="0" vertical="bottom" wrapText="0"/>
    </xf>
    <xf borderId="4" fillId="10" fontId="20" numFmtId="0" xfId="0" applyAlignment="1" applyBorder="1" applyFont="1">
      <alignment horizontal="center" readingOrder="0" shrinkToFit="0" vertical="bottom" wrapText="0"/>
    </xf>
    <xf borderId="4" fillId="10" fontId="20" numFmtId="0" xfId="0" applyAlignment="1" applyBorder="1" applyFont="1">
      <alignment horizontal="left" readingOrder="0" shrinkToFit="0" vertical="bottom" wrapText="0"/>
    </xf>
    <xf borderId="3" fillId="10" fontId="20" numFmtId="0" xfId="0" applyAlignment="1" applyBorder="1" applyFont="1">
      <alignment readingOrder="0" shrinkToFit="0" vertical="bottom" wrapText="0"/>
    </xf>
    <xf borderId="4" fillId="10" fontId="19" numFmtId="0" xfId="0" applyAlignment="1" applyBorder="1" applyFont="1">
      <alignment readingOrder="0" shrinkToFit="0" vertical="bottom" wrapText="0"/>
    </xf>
    <xf borderId="4" fillId="10" fontId="20" numFmtId="0" xfId="0" applyAlignment="1" applyBorder="1" applyFont="1">
      <alignment readingOrder="0" vertical="bottom"/>
    </xf>
    <xf borderId="0" fillId="2" fontId="1" numFmtId="0" xfId="0" applyAlignment="1" applyFont="1">
      <alignment horizontal="right" readingOrder="0" shrinkToFit="0" vertical="bottom" wrapText="0"/>
    </xf>
    <xf borderId="0" fillId="2" fontId="1" numFmtId="49" xfId="0" applyAlignment="1" applyFont="1" applyNumberFormat="1">
      <alignment horizontal="right" readingOrder="0" shrinkToFit="0" vertical="bottom" wrapText="0"/>
    </xf>
    <xf borderId="3" fillId="2" fontId="3" numFmtId="0" xfId="0" applyAlignment="1" applyBorder="1" applyFont="1">
      <alignment readingOrder="0" shrinkToFit="0" vertical="bottom" wrapText="0"/>
    </xf>
    <xf borderId="4" fillId="2" fontId="1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readingOrder="0" vertical="bottom"/>
    </xf>
    <xf borderId="4" fillId="2" fontId="5" numFmtId="0" xfId="0" applyAlignment="1" applyBorder="1" applyFont="1">
      <alignment horizontal="right" readingOrder="0" shrinkToFit="0" vertical="bottom" wrapText="0"/>
    </xf>
    <xf borderId="4" fillId="2" fontId="5" numFmtId="0" xfId="0" applyAlignment="1" applyBorder="1" applyFont="1">
      <alignment horizontal="center" readingOrder="0" shrinkToFit="0" vertical="bottom" wrapText="0"/>
    </xf>
    <xf borderId="4" fillId="2" fontId="5" numFmtId="0" xfId="0" applyAlignment="1" applyBorder="1" applyFont="1">
      <alignment horizontal="left" readingOrder="0" shrinkToFit="0" vertical="bottom" wrapText="0"/>
    </xf>
    <xf borderId="1" fillId="2" fontId="3" numFmtId="0" xfId="0" applyAlignment="1" applyBorder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2" fillId="2" fontId="3" numFmtId="0" xfId="0" applyAlignment="1" applyBorder="1" applyFont="1">
      <alignment readingOrder="0" shrinkToFit="0" vertical="bottom" wrapText="0"/>
    </xf>
    <xf borderId="2" fillId="2" fontId="3" numFmtId="0" xfId="0" applyAlignment="1" applyBorder="1" applyFont="1">
      <alignment horizontal="right" readingOrder="0" shrinkToFit="0" vertical="bottom" wrapText="0"/>
    </xf>
    <xf borderId="2" fillId="2" fontId="3" numFmtId="0" xfId="0" applyAlignment="1" applyBorder="1" applyFont="1">
      <alignment horizontal="center" readingOrder="0" shrinkToFit="0" vertical="bottom" wrapText="0"/>
    </xf>
    <xf borderId="2" fillId="2" fontId="3" numFmtId="0" xfId="0" applyAlignment="1" applyBorder="1" applyFont="1">
      <alignment horizontal="left" readingOrder="0" shrinkToFit="0" vertical="bottom" wrapText="0"/>
    </xf>
    <xf borderId="0" fillId="2" fontId="21" numFmtId="0" xfId="0" applyFont="1"/>
    <xf borderId="0" fillId="11" fontId="1" numFmtId="0" xfId="0" applyAlignment="1" applyFill="1" applyFont="1">
      <alignment horizontal="right" readingOrder="0" shrinkToFit="0" vertical="bottom" wrapText="0"/>
    </xf>
    <xf borderId="0" fillId="11" fontId="1" numFmtId="49" xfId="0" applyAlignment="1" applyFont="1" applyNumberFormat="1">
      <alignment horizontal="right" readingOrder="0" shrinkToFit="0" vertical="bottom" wrapText="0"/>
    </xf>
    <xf borderId="3" fillId="11" fontId="3" numFmtId="0" xfId="0" applyAlignment="1" applyBorder="1" applyFont="1">
      <alignment readingOrder="0" vertical="bottom"/>
    </xf>
    <xf borderId="4" fillId="11" fontId="1" numFmtId="0" xfId="0" applyAlignment="1" applyBorder="1" applyFont="1">
      <alignment readingOrder="0" vertical="bottom"/>
    </xf>
    <xf borderId="4" fillId="11" fontId="3" numFmtId="0" xfId="0" applyAlignment="1" applyBorder="1" applyFont="1">
      <alignment readingOrder="0" shrinkToFit="0" vertical="bottom" wrapText="0"/>
    </xf>
    <xf borderId="4" fillId="11" fontId="5" numFmtId="0" xfId="0" applyAlignment="1" applyBorder="1" applyFont="1">
      <alignment horizontal="right" readingOrder="0" shrinkToFit="0" vertical="bottom" wrapText="0"/>
    </xf>
    <xf borderId="4" fillId="11" fontId="5" numFmtId="0" xfId="0" applyAlignment="1" applyBorder="1" applyFont="1">
      <alignment horizontal="center" readingOrder="0" shrinkToFit="0" vertical="bottom" wrapText="0"/>
    </xf>
    <xf borderId="4" fillId="11" fontId="5" numFmtId="0" xfId="0" applyAlignment="1" applyBorder="1" applyFont="1">
      <alignment horizontal="left" readingOrder="0" shrinkToFit="0" vertical="bottom" wrapText="0"/>
    </xf>
    <xf borderId="0" fillId="11" fontId="4" numFmtId="0" xfId="0" applyFont="1"/>
    <xf borderId="4" fillId="11" fontId="3" numFmtId="0" xfId="0" applyAlignment="1" applyBorder="1" applyFont="1">
      <alignment readingOrder="0" vertical="bottom"/>
    </xf>
    <xf borderId="4" fillId="11" fontId="3" numFmtId="0" xfId="0" applyAlignment="1" applyBorder="1" applyFont="1">
      <alignment horizontal="right" readingOrder="0" shrinkToFit="0" vertical="bottom" wrapText="0"/>
    </xf>
    <xf borderId="4" fillId="11" fontId="3" numFmtId="0" xfId="0" applyAlignment="1" applyBorder="1" applyFont="1">
      <alignment horizontal="center" readingOrder="0" shrinkToFit="0" vertical="bottom" wrapText="0"/>
    </xf>
    <xf borderId="4" fillId="11" fontId="3" numFmtId="49" xfId="0" applyAlignment="1" applyBorder="1" applyFont="1" applyNumberFormat="1">
      <alignment horizontal="left" readingOrder="0" shrinkToFit="0" vertical="bottom" wrapText="0"/>
    </xf>
    <xf borderId="0" fillId="11" fontId="21" numFmtId="0" xfId="0" applyFont="1"/>
    <xf borderId="3" fillId="11" fontId="3" numFmtId="0" xfId="0" applyAlignment="1" applyBorder="1" applyFont="1">
      <alignment readingOrder="0" shrinkToFit="0" vertical="bottom" wrapText="0"/>
    </xf>
    <xf borderId="4" fillId="11" fontId="1" numFmtId="0" xfId="0" applyAlignment="1" applyBorder="1" applyFont="1">
      <alignment readingOrder="0" shrinkToFit="0" vertical="bottom" wrapText="0"/>
    </xf>
    <xf borderId="4" fillId="11" fontId="3" numFmtId="3" xfId="0" applyAlignment="1" applyBorder="1" applyFont="1" applyNumberFormat="1">
      <alignment horizontal="right" readingOrder="0" shrinkToFit="0" vertical="bottom" wrapText="0"/>
    </xf>
    <xf borderId="4" fillId="11" fontId="3" numFmtId="49" xfId="0" applyAlignment="1" applyBorder="1" applyFont="1" applyNumberFormat="1">
      <alignment horizontal="left" readingOrder="0" vertical="bottom"/>
    </xf>
    <xf borderId="0" fillId="11" fontId="19" numFmtId="0" xfId="0" applyAlignment="1" applyFont="1">
      <alignment horizontal="right" readingOrder="0" shrinkToFit="0" vertical="bottom" wrapText="0"/>
    </xf>
    <xf borderId="0" fillId="11" fontId="19" numFmtId="49" xfId="0" applyAlignment="1" applyFont="1" applyNumberFormat="1">
      <alignment horizontal="right" readingOrder="0" shrinkToFit="0" vertical="bottom" wrapText="0"/>
    </xf>
    <xf borderId="3" fillId="11" fontId="20" numFmtId="0" xfId="0" applyAlignment="1" applyBorder="1" applyFont="1">
      <alignment vertical="bottom"/>
    </xf>
    <xf borderId="4" fillId="11" fontId="19" numFmtId="0" xfId="0" applyAlignment="1" applyBorder="1" applyFont="1">
      <alignment vertical="bottom"/>
    </xf>
    <xf borderId="4" fillId="11" fontId="20" numFmtId="0" xfId="0" applyAlignment="1" applyBorder="1" applyFont="1">
      <alignment vertical="bottom"/>
    </xf>
    <xf borderId="4" fillId="11" fontId="20" numFmtId="0" xfId="0" applyAlignment="1" applyBorder="1" applyFont="1">
      <alignment horizontal="right" shrinkToFit="0" vertical="bottom" wrapText="0"/>
    </xf>
    <xf borderId="4" fillId="11" fontId="20" numFmtId="0" xfId="0" applyAlignment="1" applyBorder="1" applyFont="1">
      <alignment horizontal="center" shrinkToFit="0" vertical="bottom" wrapText="0"/>
    </xf>
    <xf borderId="4" fillId="11" fontId="20" numFmtId="49" xfId="0" applyAlignment="1" applyBorder="1" applyFont="1" applyNumberFormat="1">
      <alignment horizontal="left" vertical="bottom"/>
    </xf>
    <xf borderId="0" fillId="11" fontId="4" numFmtId="0" xfId="0" applyFont="1"/>
    <xf borderId="0" fillId="10" fontId="19" numFmtId="0" xfId="0" applyAlignment="1" applyFont="1">
      <alignment horizontal="right" readingOrder="0" shrinkToFit="0" vertical="bottom" wrapText="0"/>
    </xf>
    <xf borderId="0" fillId="10" fontId="19" numFmtId="49" xfId="0" applyAlignment="1" applyFont="1" applyNumberFormat="1">
      <alignment horizontal="right" readingOrder="0" shrinkToFit="0" vertical="bottom" wrapText="0"/>
    </xf>
    <xf borderId="3" fillId="10" fontId="20" numFmtId="0" xfId="0" applyAlignment="1" applyBorder="1" applyFont="1">
      <alignment readingOrder="0" vertical="bottom"/>
    </xf>
    <xf borderId="4" fillId="10" fontId="19" numFmtId="0" xfId="0" applyAlignment="1" applyBorder="1" applyFont="1">
      <alignment vertical="bottom"/>
    </xf>
    <xf borderId="4" fillId="10" fontId="20" numFmtId="0" xfId="0" applyAlignment="1" applyBorder="1" applyFont="1">
      <alignment vertical="bottom"/>
    </xf>
    <xf borderId="4" fillId="10" fontId="20" numFmtId="0" xfId="0" applyAlignment="1" applyBorder="1" applyFont="1">
      <alignment horizontal="right" shrinkToFit="0" vertical="bottom" wrapText="0"/>
    </xf>
    <xf borderId="4" fillId="10" fontId="20" numFmtId="0" xfId="0" applyAlignment="1" applyBorder="1" applyFont="1">
      <alignment horizontal="center" shrinkToFit="0" vertical="bottom" wrapText="0"/>
    </xf>
    <xf borderId="4" fillId="10" fontId="20" numFmtId="49" xfId="0" applyAlignment="1" applyBorder="1" applyFont="1" applyNumberFormat="1">
      <alignment horizontal="left" shrinkToFit="0" vertical="bottom" wrapText="0"/>
    </xf>
    <xf borderId="0" fillId="10" fontId="4" numFmtId="0" xfId="0" applyFont="1"/>
    <xf borderId="3" fillId="10" fontId="3" numFmtId="0" xfId="0" applyAlignment="1" applyBorder="1" applyFont="1">
      <alignment readingOrder="0" shrinkToFit="0" vertical="bottom" wrapText="0"/>
    </xf>
    <xf borderId="4" fillId="10" fontId="1" numFmtId="0" xfId="0" applyAlignment="1" applyBorder="1" applyFont="1">
      <alignment readingOrder="0" shrinkToFit="0" vertical="bottom" wrapText="0"/>
    </xf>
    <xf borderId="4" fillId="10" fontId="3" numFmtId="0" xfId="0" applyAlignment="1" applyBorder="1" applyFont="1">
      <alignment readingOrder="0" shrinkToFit="0" vertical="bottom" wrapText="0"/>
    </xf>
    <xf borderId="4" fillId="10" fontId="5" numFmtId="0" xfId="0" applyAlignment="1" applyBorder="1" applyFont="1">
      <alignment horizontal="right" readingOrder="0" shrinkToFit="0" vertical="bottom" wrapText="0"/>
    </xf>
    <xf borderId="4" fillId="10" fontId="5" numFmtId="0" xfId="0" applyAlignment="1" applyBorder="1" applyFont="1">
      <alignment horizontal="center" readingOrder="0" shrinkToFit="0" vertical="bottom" wrapText="0"/>
    </xf>
    <xf borderId="4" fillId="10" fontId="5" numFmtId="49" xfId="0" applyAlignment="1" applyBorder="1" applyFont="1" applyNumberFormat="1">
      <alignment horizontal="left" readingOrder="0" shrinkToFit="0" vertical="bottom" wrapText="0"/>
    </xf>
    <xf borderId="4" fillId="10" fontId="20" numFmtId="49" xfId="0" applyAlignment="1" applyBorder="1" applyFont="1" applyNumberFormat="1">
      <alignment horizontal="left" readingOrder="0" shrinkToFit="0" vertical="bottom" wrapText="0"/>
    </xf>
    <xf borderId="4" fillId="10" fontId="20" numFmtId="3" xfId="0" applyAlignment="1" applyBorder="1" applyFont="1" applyNumberFormat="1">
      <alignment horizontal="right" readingOrder="0" shrinkToFit="0" vertical="bottom" wrapText="0"/>
    </xf>
    <xf borderId="4" fillId="10" fontId="20" numFmtId="49" xfId="0" applyAlignment="1" applyBorder="1" applyFont="1" applyNumberFormat="1">
      <alignment horizontal="left" readingOrder="0" vertical="bottom"/>
    </xf>
    <xf borderId="4" fillId="3" fontId="22" numFmtId="0" xfId="0" applyAlignment="1" applyBorder="1" applyFont="1">
      <alignment horizontal="right" readingOrder="0" shrinkToFit="0" vertical="bottom" wrapText="0"/>
    </xf>
    <xf borderId="4" fillId="3" fontId="22" numFmtId="0" xfId="0" applyAlignment="1" applyBorder="1" applyFont="1">
      <alignment horizontal="center" readingOrder="0" shrinkToFit="0" vertical="bottom" wrapText="0"/>
    </xf>
    <xf borderId="4" fillId="3" fontId="22" numFmtId="0" xfId="0" applyAlignment="1" applyBorder="1" applyFont="1">
      <alignment horizontal="left" readingOrder="0" shrinkToFit="0" vertical="bottom" wrapText="0"/>
    </xf>
    <xf borderId="4" fillId="3" fontId="22" numFmtId="0" xfId="0" applyAlignment="1" applyBorder="1" applyFont="1">
      <alignment horizontal="left" readingOrder="0" vertical="bottom"/>
    </xf>
    <xf borderId="3" fillId="3" fontId="3" numFmtId="0" xfId="0" applyAlignment="1" applyBorder="1" applyFont="1">
      <alignment horizontal="left" readingOrder="0" vertical="bottom"/>
    </xf>
    <xf borderId="4" fillId="3" fontId="5" numFmtId="0" xfId="0" applyAlignment="1" applyBorder="1" applyFont="1">
      <alignment horizontal="center" shrinkToFit="0" vertical="bottom" wrapText="0"/>
    </xf>
    <xf borderId="4" fillId="3" fontId="5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Seccional de Holand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3:AB14" displayName="Table_1" name="Table_1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eccional de Holand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sysgel.net/frontend/web/direccion-fp/direccion-media-registros-fp?dbs_id=4775&amp;month=all" TargetMode="External"/><Relationship Id="rId42" Type="http://schemas.openxmlformats.org/officeDocument/2006/relationships/hyperlink" Target="https://sysgel.net/frontend/web/direccion-fp/direccion-media-registros-fp?dbs_id=4768&amp;month=all" TargetMode="External"/><Relationship Id="rId41" Type="http://schemas.openxmlformats.org/officeDocument/2006/relationships/hyperlink" Target="https://sysgel.net/frontend/web/direccion-fp/direccion-media-detail?id=4768" TargetMode="External"/><Relationship Id="rId44" Type="http://schemas.openxmlformats.org/officeDocument/2006/relationships/hyperlink" Target="https://sysgel.net/frontend/web/direccion-fp/direccion-media-registros-fp?dbs_id=4759&amp;month=all" TargetMode="External"/><Relationship Id="rId43" Type="http://schemas.openxmlformats.org/officeDocument/2006/relationships/hyperlink" Target="https://sysgel.net/frontend/web/direccion-fp/direccion-media-detail?id=4759" TargetMode="External"/><Relationship Id="rId46" Type="http://schemas.openxmlformats.org/officeDocument/2006/relationships/hyperlink" Target="https://sysgel.net/frontend/web/direccion-fp/direccion-media-registros-fp?dbs_id=4741&amp;month=all" TargetMode="External"/><Relationship Id="rId45" Type="http://schemas.openxmlformats.org/officeDocument/2006/relationships/hyperlink" Target="https://sysgel.net/frontend/web/direccion-fp/direccion-media-detail?id=4741" TargetMode="External"/><Relationship Id="rId104" Type="http://schemas.openxmlformats.org/officeDocument/2006/relationships/drawing" Target="../drawings/drawing4.xml"/><Relationship Id="rId48" Type="http://schemas.openxmlformats.org/officeDocument/2006/relationships/hyperlink" Target="https://sysgel.net/frontend/web/direccion-fp/direccion-media-registros-fp?dbs_id=4725&amp;month=all" TargetMode="External"/><Relationship Id="rId47" Type="http://schemas.openxmlformats.org/officeDocument/2006/relationships/hyperlink" Target="https://sysgel.net/frontend/web/direccion-fp/direccion-media-detail?id=4725" TargetMode="External"/><Relationship Id="rId49" Type="http://schemas.openxmlformats.org/officeDocument/2006/relationships/hyperlink" Target="https://sysgel.net/frontend/web/direccion-fp/direccion-media-detail?id=4711" TargetMode="External"/><Relationship Id="rId103" Type="http://schemas.openxmlformats.org/officeDocument/2006/relationships/hyperlink" Target="https://sysgel.net/frontend/web/direccion-fp/direccion-media-registros-fp?dbs_id=349&amp;month=all" TargetMode="External"/><Relationship Id="rId102" Type="http://schemas.openxmlformats.org/officeDocument/2006/relationships/hyperlink" Target="https://sysgel.net/frontend/web/direccion-fp/direccion-media-detail?id=349" TargetMode="External"/><Relationship Id="rId101" Type="http://schemas.openxmlformats.org/officeDocument/2006/relationships/hyperlink" Target="https://sysgel.net/frontend/web/direccion-fp/direccion-media-registros-fp?dbs_id=399&amp;month=all" TargetMode="External"/><Relationship Id="rId100" Type="http://schemas.openxmlformats.org/officeDocument/2006/relationships/hyperlink" Target="https://sysgel.net/frontend/web/direccion-fp/direccion-media-detail?id=399" TargetMode="External"/><Relationship Id="rId31" Type="http://schemas.openxmlformats.org/officeDocument/2006/relationships/hyperlink" Target="https://sysgel.net/frontend/web/direccion-fp/direccion-media-detail?id=4809" TargetMode="External"/><Relationship Id="rId30" Type="http://schemas.openxmlformats.org/officeDocument/2006/relationships/hyperlink" Target="https://sysgel.net/frontend/web/direccion-fp/direccion-media-registros-fp?dbs_id=6075&amp;month=all" TargetMode="External"/><Relationship Id="rId33" Type="http://schemas.openxmlformats.org/officeDocument/2006/relationships/hyperlink" Target="https://sysgel.net/frontend/web/direccion-fp/direccion-media-detail?id=4808" TargetMode="External"/><Relationship Id="rId32" Type="http://schemas.openxmlformats.org/officeDocument/2006/relationships/hyperlink" Target="https://sysgel.net/frontend/web/direccion-fp/direccion-media-registros-fp?dbs_id=4809&amp;month=all" TargetMode="External"/><Relationship Id="rId35" Type="http://schemas.openxmlformats.org/officeDocument/2006/relationships/hyperlink" Target="https://sysgel.net/frontend/web/direccion-fp/direccion-media-detail?id=4797" TargetMode="External"/><Relationship Id="rId34" Type="http://schemas.openxmlformats.org/officeDocument/2006/relationships/hyperlink" Target="https://sysgel.net/frontend/web/direccion-fp/direccion-media-registros-fp?dbs_id=4808&amp;month=all" TargetMode="External"/><Relationship Id="rId37" Type="http://schemas.openxmlformats.org/officeDocument/2006/relationships/hyperlink" Target="https://sysgel.net/frontend/web/direccion-fp/direccion-media-detail?id=4787" TargetMode="External"/><Relationship Id="rId36" Type="http://schemas.openxmlformats.org/officeDocument/2006/relationships/hyperlink" Target="https://sysgel.net/frontend/web/direccion-fp/direccion-media-registros-fp?dbs_id=4797&amp;month=all" TargetMode="External"/><Relationship Id="rId39" Type="http://schemas.openxmlformats.org/officeDocument/2006/relationships/hyperlink" Target="https://sysgel.net/frontend/web/direccion-fp/direccion-media-detail?id=4775" TargetMode="External"/><Relationship Id="rId38" Type="http://schemas.openxmlformats.org/officeDocument/2006/relationships/hyperlink" Target="https://sysgel.net/frontend/web/direccion-fp/direccion-media-registros-fp?dbs_id=4787&amp;month=all" TargetMode="External"/><Relationship Id="rId20" Type="http://schemas.openxmlformats.org/officeDocument/2006/relationships/hyperlink" Target="https://sysgel.net/frontend/web/direccion-fp/direccion-media-registros-fp?dbs_id=6695&amp;month=all" TargetMode="External"/><Relationship Id="rId22" Type="http://schemas.openxmlformats.org/officeDocument/2006/relationships/hyperlink" Target="https://sysgel.net/frontend/web/direccion-fp/direccion-media-registros-fp?dbs_id=6481&amp;month=all" TargetMode="External"/><Relationship Id="rId21" Type="http://schemas.openxmlformats.org/officeDocument/2006/relationships/hyperlink" Target="https://sysgel.net/frontend/web/direccion-fp/direccion-media-detail?id=6481" TargetMode="External"/><Relationship Id="rId24" Type="http://schemas.openxmlformats.org/officeDocument/2006/relationships/hyperlink" Target="https://sysgel.net/frontend/web/direccion-fp/direccion-media-registros-fp?dbs_id=6223&amp;month=all" TargetMode="External"/><Relationship Id="rId23" Type="http://schemas.openxmlformats.org/officeDocument/2006/relationships/hyperlink" Target="https://sysgel.net/frontend/web/direccion-fp/direccion-media-detail?id=6223" TargetMode="External"/><Relationship Id="rId26" Type="http://schemas.openxmlformats.org/officeDocument/2006/relationships/hyperlink" Target="https://sysgel.net/frontend/web/direccion-fp/direccion-media-registros-fp?dbs_id=6163&amp;month=all" TargetMode="External"/><Relationship Id="rId25" Type="http://schemas.openxmlformats.org/officeDocument/2006/relationships/hyperlink" Target="https://sysgel.net/frontend/web/direccion-fp/direccion-media-detail?id=6163" TargetMode="External"/><Relationship Id="rId28" Type="http://schemas.openxmlformats.org/officeDocument/2006/relationships/hyperlink" Target="https://sysgel.net/frontend/web/direccion-fp/direccion-media-registros-fp?dbs_id=6125&amp;month=all" TargetMode="External"/><Relationship Id="rId27" Type="http://schemas.openxmlformats.org/officeDocument/2006/relationships/hyperlink" Target="https://sysgel.net/frontend/web/direccion-fp/direccion-media-detail?id=6125" TargetMode="External"/><Relationship Id="rId29" Type="http://schemas.openxmlformats.org/officeDocument/2006/relationships/hyperlink" Target="https://sysgel.net/frontend/web/direccion-fp/direccion-media-detail?id=6075" TargetMode="External"/><Relationship Id="rId95" Type="http://schemas.openxmlformats.org/officeDocument/2006/relationships/hyperlink" Target="https://sysgel.net/frontend/web/direccion-fp/direccion-media-registros-fp?dbs_id=432&amp;month=all" TargetMode="External"/><Relationship Id="rId94" Type="http://schemas.openxmlformats.org/officeDocument/2006/relationships/hyperlink" Target="https://sysgel.net/frontend/web/direccion-fp/direccion-media-detail?id=432" TargetMode="External"/><Relationship Id="rId97" Type="http://schemas.openxmlformats.org/officeDocument/2006/relationships/hyperlink" Target="https://sysgel.net/frontend/web/direccion-fp/direccion-media-registros-fp?dbs_id=410&amp;month=all" TargetMode="External"/><Relationship Id="rId96" Type="http://schemas.openxmlformats.org/officeDocument/2006/relationships/hyperlink" Target="https://sysgel.net/frontend/web/direccion-fp/direccion-media-detail?id=410" TargetMode="External"/><Relationship Id="rId11" Type="http://schemas.openxmlformats.org/officeDocument/2006/relationships/hyperlink" Target="https://sysgel.net/frontend/web/direccion-fp/direccion-media-detail?id=8076" TargetMode="External"/><Relationship Id="rId99" Type="http://schemas.openxmlformats.org/officeDocument/2006/relationships/hyperlink" Target="https://sysgel.net/frontend/web/direccion-fp/direccion-media-registros-fp?dbs_id=405&amp;month=all" TargetMode="External"/><Relationship Id="rId10" Type="http://schemas.openxmlformats.org/officeDocument/2006/relationships/hyperlink" Target="https://sysgel.net/frontend/web/direccion-fp/direccion-media-registros-fp?dbs_id=8138&amp;month=all" TargetMode="External"/><Relationship Id="rId98" Type="http://schemas.openxmlformats.org/officeDocument/2006/relationships/hyperlink" Target="https://sysgel.net/frontend/web/direccion-fp/direccion-media-detail?id=405" TargetMode="External"/><Relationship Id="rId13" Type="http://schemas.openxmlformats.org/officeDocument/2006/relationships/hyperlink" Target="https://sysgel.net/frontend/web/direccion-fp/direccion-media-detail?id=8059" TargetMode="External"/><Relationship Id="rId12" Type="http://schemas.openxmlformats.org/officeDocument/2006/relationships/hyperlink" Target="https://sysgel.net/frontend/web/direccion-fp/direccion-media-registros-fp?dbs_id=8076&amp;month=all" TargetMode="External"/><Relationship Id="rId91" Type="http://schemas.openxmlformats.org/officeDocument/2006/relationships/hyperlink" Target="https://sysgel.net/frontend/web/direccion-fp/direccion-media-registros-fp?dbs_id=885&amp;month=all" TargetMode="External"/><Relationship Id="rId90" Type="http://schemas.openxmlformats.org/officeDocument/2006/relationships/hyperlink" Target="https://sysgel.net/frontend/web/direccion-fp/direccion-media-detail?id=885" TargetMode="External"/><Relationship Id="rId93" Type="http://schemas.openxmlformats.org/officeDocument/2006/relationships/hyperlink" Target="https://sysgel.net/frontend/web/direccion-fp/direccion-media-registros-fp?dbs_id=451&amp;month=all" TargetMode="External"/><Relationship Id="rId92" Type="http://schemas.openxmlformats.org/officeDocument/2006/relationships/hyperlink" Target="https://sysgel.net/frontend/web/direccion-fp/direccion-media-detail?id=451" TargetMode="External"/><Relationship Id="rId15" Type="http://schemas.openxmlformats.org/officeDocument/2006/relationships/hyperlink" Target="https://sysgel.net/frontend/web/direccion-fp/direccion-media-detail?id=7971" TargetMode="External"/><Relationship Id="rId14" Type="http://schemas.openxmlformats.org/officeDocument/2006/relationships/hyperlink" Target="https://sysgel.net/frontend/web/direccion-fp/direccion-media-registros-fp?dbs_id=8059&amp;month=all" TargetMode="External"/><Relationship Id="rId17" Type="http://schemas.openxmlformats.org/officeDocument/2006/relationships/hyperlink" Target="https://sysgel.net/frontend/web/direccion-fp/direccion-media-detail?id=7858" TargetMode="External"/><Relationship Id="rId16" Type="http://schemas.openxmlformats.org/officeDocument/2006/relationships/hyperlink" Target="https://sysgel.net/frontend/web/direccion-fp/direccion-media-registros-fp?dbs_id=7971&amp;month=all" TargetMode="External"/><Relationship Id="rId19" Type="http://schemas.openxmlformats.org/officeDocument/2006/relationships/hyperlink" Target="https://sysgel.net/frontend/web/direccion-fp/direccion-media-detail?id=6695" TargetMode="External"/><Relationship Id="rId18" Type="http://schemas.openxmlformats.org/officeDocument/2006/relationships/hyperlink" Target="https://sysgel.net/frontend/web/direccion-fp/direccion-media-registros-fp?dbs_id=7858&amp;month=all" TargetMode="External"/><Relationship Id="rId84" Type="http://schemas.openxmlformats.org/officeDocument/2006/relationships/hyperlink" Target="https://sysgel.net/frontend/web/direccion-fp/direccion-media-detail?id=1185" TargetMode="External"/><Relationship Id="rId83" Type="http://schemas.openxmlformats.org/officeDocument/2006/relationships/hyperlink" Target="https://sysgel.net/frontend/web/direccion-fp/direccion-media-registros-fp?dbs_id=1398&amp;month=all" TargetMode="External"/><Relationship Id="rId86" Type="http://schemas.openxmlformats.org/officeDocument/2006/relationships/hyperlink" Target="https://sysgel.net/frontend/web/direccion-fp/direccion-media-detail?id=1175" TargetMode="External"/><Relationship Id="rId85" Type="http://schemas.openxmlformats.org/officeDocument/2006/relationships/hyperlink" Target="https://sysgel.net/frontend/web/direccion-fp/direccion-media-registros-fp?dbs_id=1185&amp;month=all" TargetMode="External"/><Relationship Id="rId88" Type="http://schemas.openxmlformats.org/officeDocument/2006/relationships/hyperlink" Target="https://sysgel.net/frontend/web/direccion-fp/direccion-media-detail?id=1024" TargetMode="External"/><Relationship Id="rId87" Type="http://schemas.openxmlformats.org/officeDocument/2006/relationships/hyperlink" Target="https://sysgel.net/frontend/web/direccion-fp/direccion-media-registros-fp?dbs_id=1175&amp;month=all" TargetMode="External"/><Relationship Id="rId89" Type="http://schemas.openxmlformats.org/officeDocument/2006/relationships/hyperlink" Target="https://sysgel.net/frontend/web/direccion-fp/direccion-media-registros-fp?dbs_id=1024&amp;month=all" TargetMode="External"/><Relationship Id="rId80" Type="http://schemas.openxmlformats.org/officeDocument/2006/relationships/hyperlink" Target="https://sysgel.net/frontend/web/direccion-fp/direccion-media-detail?id=1436" TargetMode="External"/><Relationship Id="rId82" Type="http://schemas.openxmlformats.org/officeDocument/2006/relationships/hyperlink" Target="https://sysgel.net/frontend/web/direccion-fp/direccion-media-detail?id=1398" TargetMode="External"/><Relationship Id="rId81" Type="http://schemas.openxmlformats.org/officeDocument/2006/relationships/hyperlink" Target="https://sysgel.net/frontend/web/direccion-fp/direccion-media-registros-fp?dbs_id=1436&amp;month=all" TargetMode="External"/><Relationship Id="rId1" Type="http://schemas.openxmlformats.org/officeDocument/2006/relationships/hyperlink" Target="https://sysgel.net/frontend/web/direccion-fp/listado-direccion-media?nombre=&amp;apellido=&amp;coordinador=&amp;usuario=&amp;miembro=&amp;DireccionMediaGroups%5Baprobada%5D=&amp;DireccionMediaGroups%5Bprovincia%5D=&amp;DireccionMediaGroups%5Bcodigo_pais%5D=8&amp;DireccionMediaGroups%5Bnivel_1%5D=&amp;DireccionMediaGroups%5Bnivel_2%5D=&amp;DireccionMediaGroups%5Bmunicipio%5D=&amp;DireccionMediaGroups%5Bdistrito_municipal%5D=&amp;DireccionMediaGroups%5Bstatus%5D=&amp;DireccionMediaGroups%5Blocation_type_id%5D=&amp;validada=&amp;sort=location_type_id" TargetMode="External"/><Relationship Id="rId2" Type="http://schemas.openxmlformats.org/officeDocument/2006/relationships/hyperlink" Target="https://sysgel.net/frontend/web/direccion-fp/listado-direccion-media?nombre=&amp;apellido=&amp;coordinador=&amp;usuario=&amp;miembro=&amp;DireccionMediaGroups%5Baprobada%5D=&amp;DireccionMediaGroups%5Bprovincia%5D=&amp;DireccionMediaGroups%5Bcodigo_pais%5D=8&amp;DireccionMediaGroups%5Bnivel_1%5D=&amp;DireccionMediaGroups%5Bnivel_2%5D=&amp;DireccionMediaGroups%5Bmunicipio%5D=&amp;DireccionMediaGroups%5Bdistrito_municipal%5D=&amp;DireccionMediaGroups%5Bstatus%5D=&amp;DireccionMediaGroups%5Blocation_type_id%5D=&amp;validada=&amp;sort=codigo_recinto" TargetMode="External"/><Relationship Id="rId3" Type="http://schemas.openxmlformats.org/officeDocument/2006/relationships/hyperlink" Target="https://sysgel.net/frontend/web/direccion-fp/listado-direccion-media?nombre=&amp;apellido=&amp;coordinador=&amp;usuario=&amp;miembro=&amp;DireccionMediaGroups%5Baprobada%5D=&amp;DireccionMediaGroups%5Bprovincia%5D=&amp;DireccionMediaGroups%5Bcodigo_pais%5D=8&amp;DireccionMediaGroups%5Bnivel_1%5D=&amp;DireccionMediaGroups%5Bnivel_2%5D=&amp;DireccionMediaGroups%5Bmunicipio%5D=&amp;DireccionMediaGroups%5Bdistrito_municipal%5D=&amp;DireccionMediaGroups%5Bstatus%5D=&amp;DireccionMediaGroups%5Blocation_type_id%5D=&amp;validada=&amp;sort=codigo_pais" TargetMode="External"/><Relationship Id="rId4" Type="http://schemas.openxmlformats.org/officeDocument/2006/relationships/hyperlink" Target="https://sysgel.net/frontend/web/direccion-fp/listado-direccion-media?nombre=&amp;apellido=&amp;coordinador=&amp;usuario=&amp;miembro=&amp;DireccionMediaGroups%5Baprobada%5D=&amp;DireccionMediaGroups%5Bprovincia%5D=&amp;DireccionMediaGroups%5Bcodigo_pais%5D=8&amp;DireccionMediaGroups%5Bnivel_1%5D=&amp;DireccionMediaGroups%5Bnivel_2%5D=&amp;DireccionMediaGroups%5Bmunicipio%5D=&amp;DireccionMediaGroups%5Bdistrito_municipal%5D=&amp;DireccionMediaGroups%5Bstatus%5D=&amp;DireccionMediaGroups%5Blocation_type_id%5D=&amp;validada=&amp;sort=nivel_1" TargetMode="External"/><Relationship Id="rId9" Type="http://schemas.openxmlformats.org/officeDocument/2006/relationships/hyperlink" Target="https://sysgel.net/frontend/web/direccion-fp/direccion-media-detail?id=8138" TargetMode="External"/><Relationship Id="rId5" Type="http://schemas.openxmlformats.org/officeDocument/2006/relationships/hyperlink" Target="https://sysgel.net/frontend/web/direccion-fp/listado-direccion-media?nombre=&amp;apellido=&amp;coordinador=&amp;usuario=&amp;miembro=&amp;DireccionMediaGroups%5Baprobada%5D=&amp;DireccionMediaGroups%5Bprovincia%5D=&amp;DireccionMediaGroups%5Bcodigo_pais%5D=8&amp;DireccionMediaGroups%5Bnivel_1%5D=&amp;DireccionMediaGroups%5Bnivel_2%5D=&amp;DireccionMediaGroups%5Bmunicipio%5D=&amp;DireccionMediaGroups%5Bdistrito_municipal%5D=&amp;DireccionMediaGroups%5Bstatus%5D=&amp;DireccionMediaGroups%5Blocation_type_id%5D=&amp;validada=&amp;sort=nivel_2" TargetMode="External"/><Relationship Id="rId6" Type="http://schemas.openxmlformats.org/officeDocument/2006/relationships/hyperlink" Target="https://sysgel.net/frontend/web/direccion-fp/listado-direccion-media?nombre=&amp;apellido=&amp;coordinador=&amp;usuario=&amp;miembro=&amp;DireccionMediaGroups%5Baprobada%5D=&amp;DireccionMediaGroups%5Bprovincia%5D=&amp;DireccionMediaGroups%5Bcodigo_pais%5D=8&amp;DireccionMediaGroups%5Bnivel_1%5D=&amp;DireccionMediaGroups%5Bnivel_2%5D=&amp;DireccionMediaGroups%5Bmunicipio%5D=&amp;DireccionMediaGroups%5Bdistrito_municipal%5D=&amp;DireccionMediaGroups%5Bstatus%5D=&amp;DireccionMediaGroups%5Blocation_type_id%5D=&amp;validada=&amp;sort=date" TargetMode="External"/><Relationship Id="rId7" Type="http://schemas.openxmlformats.org/officeDocument/2006/relationships/hyperlink" Target="https://sysgel.net/frontend/web/direccion-fp/direccion-media-detail?id=8339" TargetMode="External"/><Relationship Id="rId8" Type="http://schemas.openxmlformats.org/officeDocument/2006/relationships/hyperlink" Target="https://sysgel.net/frontend/web/direccion-fp/direccion-media-registros-fp?dbs_id=8339&amp;month=all" TargetMode="External"/><Relationship Id="rId73" Type="http://schemas.openxmlformats.org/officeDocument/2006/relationships/hyperlink" Target="https://sysgel.net/frontend/web/direccion-fp/direccion-media-detail?id=2560" TargetMode="External"/><Relationship Id="rId72" Type="http://schemas.openxmlformats.org/officeDocument/2006/relationships/hyperlink" Target="https://sysgel.net/frontend/web/direccion-fp/direccion-media-registros-fp?dbs_id=2660&amp;month=all" TargetMode="External"/><Relationship Id="rId75" Type="http://schemas.openxmlformats.org/officeDocument/2006/relationships/hyperlink" Target="https://sysgel.net/frontend/web/direccion-fp/direccion-media-detail?id=1673" TargetMode="External"/><Relationship Id="rId74" Type="http://schemas.openxmlformats.org/officeDocument/2006/relationships/hyperlink" Target="https://sysgel.net/frontend/web/direccion-fp/direccion-media-registros-fp?dbs_id=2560&amp;month=all" TargetMode="External"/><Relationship Id="rId77" Type="http://schemas.openxmlformats.org/officeDocument/2006/relationships/hyperlink" Target="https://sysgel.net/frontend/web/direccion-fp/direccion-media-detail?id=1490" TargetMode="External"/><Relationship Id="rId76" Type="http://schemas.openxmlformats.org/officeDocument/2006/relationships/hyperlink" Target="https://sysgel.net/frontend/web/direccion-fp/direccion-media-registros-fp?dbs_id=1673&amp;month=all" TargetMode="External"/><Relationship Id="rId79" Type="http://schemas.openxmlformats.org/officeDocument/2006/relationships/hyperlink" Target="https://sysgel.net/frontend/web/direccion-fp/direccion-media-registros-fp?dbs_id=1450&amp;month=all" TargetMode="External"/><Relationship Id="rId78" Type="http://schemas.openxmlformats.org/officeDocument/2006/relationships/hyperlink" Target="https://sysgel.net/frontend/web/direccion-fp/direccion-media-detail?id=1450" TargetMode="External"/><Relationship Id="rId71" Type="http://schemas.openxmlformats.org/officeDocument/2006/relationships/hyperlink" Target="https://sysgel.net/frontend/web/direccion-fp/direccion-media-detail?id=2660" TargetMode="External"/><Relationship Id="rId70" Type="http://schemas.openxmlformats.org/officeDocument/2006/relationships/hyperlink" Target="https://sysgel.net/frontend/web/direccion-fp/direccion-media-registros-fp?dbs_id=2831&amp;month=all" TargetMode="External"/><Relationship Id="rId62" Type="http://schemas.openxmlformats.org/officeDocument/2006/relationships/hyperlink" Target="https://sysgel.net/frontend/web/direccion-fp/direccion-media-registros-fp?dbs_id=4490&amp;month=all" TargetMode="External"/><Relationship Id="rId61" Type="http://schemas.openxmlformats.org/officeDocument/2006/relationships/hyperlink" Target="https://sysgel.net/frontend/web/direccion-fp/direccion-media-detail?id=4490" TargetMode="External"/><Relationship Id="rId64" Type="http://schemas.openxmlformats.org/officeDocument/2006/relationships/hyperlink" Target="https://sysgel.net/frontend/web/direccion-fp/direccion-media-registros-fp?dbs_id=4199&amp;month=all" TargetMode="External"/><Relationship Id="rId63" Type="http://schemas.openxmlformats.org/officeDocument/2006/relationships/hyperlink" Target="https://sysgel.net/frontend/web/direccion-fp/direccion-media-detail?id=4199" TargetMode="External"/><Relationship Id="rId66" Type="http://schemas.openxmlformats.org/officeDocument/2006/relationships/hyperlink" Target="https://sysgel.net/frontend/web/direccion-fp/direccion-media-registros-fp?dbs_id=4125&amp;month=all" TargetMode="External"/><Relationship Id="rId65" Type="http://schemas.openxmlformats.org/officeDocument/2006/relationships/hyperlink" Target="https://sysgel.net/frontend/web/direccion-fp/direccion-media-detail?id=4125" TargetMode="External"/><Relationship Id="rId68" Type="http://schemas.openxmlformats.org/officeDocument/2006/relationships/hyperlink" Target="https://sysgel.net/frontend/web/direccion-fp/direccion-media-registros-fp?dbs_id=3477&amp;month=all" TargetMode="External"/><Relationship Id="rId67" Type="http://schemas.openxmlformats.org/officeDocument/2006/relationships/hyperlink" Target="https://sysgel.net/frontend/web/direccion-fp/direccion-media-detail?id=3477" TargetMode="External"/><Relationship Id="rId60" Type="http://schemas.openxmlformats.org/officeDocument/2006/relationships/hyperlink" Target="https://sysgel.net/frontend/web/direccion-fp/direccion-media-registros-fp?dbs_id=4578&amp;month=all" TargetMode="External"/><Relationship Id="rId69" Type="http://schemas.openxmlformats.org/officeDocument/2006/relationships/hyperlink" Target="https://sysgel.net/frontend/web/direccion-fp/direccion-media-detail?id=2831" TargetMode="External"/><Relationship Id="rId51" Type="http://schemas.openxmlformats.org/officeDocument/2006/relationships/hyperlink" Target="https://sysgel.net/frontend/web/direccion-fp/direccion-media-detail?id=4690" TargetMode="External"/><Relationship Id="rId50" Type="http://schemas.openxmlformats.org/officeDocument/2006/relationships/hyperlink" Target="https://sysgel.net/frontend/web/direccion-fp/direccion-media-registros-fp?dbs_id=4711&amp;month=all" TargetMode="External"/><Relationship Id="rId53" Type="http://schemas.openxmlformats.org/officeDocument/2006/relationships/hyperlink" Target="https://sysgel.net/frontend/web/direccion-fp/direccion-media-detail?id=4661" TargetMode="External"/><Relationship Id="rId52" Type="http://schemas.openxmlformats.org/officeDocument/2006/relationships/hyperlink" Target="https://sysgel.net/frontend/web/direccion-fp/direccion-media-registros-fp?dbs_id=4690&amp;month=all" TargetMode="External"/><Relationship Id="rId55" Type="http://schemas.openxmlformats.org/officeDocument/2006/relationships/hyperlink" Target="https://sysgel.net/frontend/web/direccion-fp/direccion-media-detail?id=4619" TargetMode="External"/><Relationship Id="rId54" Type="http://schemas.openxmlformats.org/officeDocument/2006/relationships/hyperlink" Target="https://sysgel.net/frontend/web/direccion-fp/direccion-media-registros-fp?dbs_id=4661&amp;month=all" TargetMode="External"/><Relationship Id="rId57" Type="http://schemas.openxmlformats.org/officeDocument/2006/relationships/hyperlink" Target="https://sysgel.net/frontend/web/direccion-fp/direccion-media-detail?id=4605" TargetMode="External"/><Relationship Id="rId56" Type="http://schemas.openxmlformats.org/officeDocument/2006/relationships/hyperlink" Target="https://sysgel.net/frontend/web/direccion-fp/direccion-media-registros-fp?dbs_id=4619&amp;month=all" TargetMode="External"/><Relationship Id="rId59" Type="http://schemas.openxmlformats.org/officeDocument/2006/relationships/hyperlink" Target="https://sysgel.net/frontend/web/direccion-fp/direccion-media-detail?id=4578" TargetMode="External"/><Relationship Id="rId58" Type="http://schemas.openxmlformats.org/officeDocument/2006/relationships/hyperlink" Target="https://sysgel.net/frontend/web/direccion-fp/direccion-media-registros-fp?dbs_id=4605&amp;month=all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88"/>
    <col customWidth="1" min="2" max="2" width="13.38"/>
    <col customWidth="1" min="3" max="3" width="74.0"/>
    <col customWidth="1" min="4" max="4" width="22.5"/>
    <col customWidth="1" min="5" max="5" width="49.0"/>
    <col customWidth="1" min="6" max="6" width="9.38"/>
    <col customWidth="1" min="7" max="7" width="16.13"/>
    <col customWidth="1" min="8" max="8" width="25.25"/>
  </cols>
  <sheetData>
    <row r="1">
      <c r="A1" s="1"/>
      <c r="B1" s="2"/>
      <c r="C1" s="3" t="s">
        <v>0</v>
      </c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/>
      <c r="B2" s="8"/>
      <c r="C2" s="9"/>
      <c r="D2" s="9"/>
      <c r="E2" s="9"/>
      <c r="F2" s="9"/>
      <c r="G2" s="9"/>
      <c r="H2" s="5"/>
    </row>
    <row r="3">
      <c r="A3" s="10"/>
      <c r="B3" s="11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3" t="s">
        <v>6</v>
      </c>
      <c r="H3" s="14" t="s">
        <v>7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16">
        <v>1.0</v>
      </c>
      <c r="B4" s="17" t="s">
        <v>8</v>
      </c>
      <c r="C4" s="18" t="s">
        <v>9</v>
      </c>
      <c r="D4" s="19" t="s">
        <v>10</v>
      </c>
      <c r="E4" s="20" t="s">
        <v>11</v>
      </c>
      <c r="F4" s="21">
        <v>1156.0</v>
      </c>
      <c r="G4" s="22">
        <v>2.0</v>
      </c>
      <c r="H4" s="23" t="s">
        <v>12</v>
      </c>
    </row>
    <row r="5">
      <c r="A5" s="16">
        <v>2.0</v>
      </c>
      <c r="B5" s="17" t="s">
        <v>13</v>
      </c>
      <c r="C5" s="24" t="s">
        <v>14</v>
      </c>
      <c r="D5" s="25" t="s">
        <v>15</v>
      </c>
      <c r="E5" s="26" t="s">
        <v>16</v>
      </c>
      <c r="F5" s="27">
        <v>1206.0</v>
      </c>
      <c r="G5" s="28">
        <v>2.0</v>
      </c>
      <c r="H5" s="29" t="s">
        <v>17</v>
      </c>
    </row>
    <row r="6">
      <c r="A6" s="16">
        <v>3.0</v>
      </c>
      <c r="B6" s="17" t="s">
        <v>18</v>
      </c>
      <c r="C6" s="30" t="s">
        <v>19</v>
      </c>
      <c r="D6" s="31" t="s">
        <v>20</v>
      </c>
      <c r="E6" s="32" t="s">
        <v>21</v>
      </c>
      <c r="F6" s="27">
        <v>830.0</v>
      </c>
      <c r="G6" s="28">
        <v>2.0</v>
      </c>
      <c r="H6" s="29" t="s">
        <v>22</v>
      </c>
    </row>
    <row r="7">
      <c r="A7" s="16">
        <v>4.0</v>
      </c>
      <c r="B7" s="17" t="s">
        <v>23</v>
      </c>
      <c r="C7" s="30" t="s">
        <v>24</v>
      </c>
      <c r="D7" s="31" t="s">
        <v>25</v>
      </c>
      <c r="E7" s="26" t="s">
        <v>26</v>
      </c>
      <c r="F7" s="27">
        <v>315.0</v>
      </c>
      <c r="G7" s="28">
        <v>1.0</v>
      </c>
      <c r="H7" s="29">
        <v>236.0</v>
      </c>
    </row>
    <row r="8">
      <c r="A8" s="16">
        <v>5.0</v>
      </c>
      <c r="B8" s="17" t="s">
        <v>27</v>
      </c>
      <c r="C8" s="24" t="s">
        <v>28</v>
      </c>
      <c r="D8" s="33" t="s">
        <v>29</v>
      </c>
      <c r="E8" s="32" t="s">
        <v>30</v>
      </c>
      <c r="F8" s="27">
        <v>1165.0</v>
      </c>
      <c r="G8" s="28">
        <v>2.0</v>
      </c>
      <c r="H8" s="29" t="s">
        <v>31</v>
      </c>
    </row>
    <row r="9">
      <c r="A9" s="16">
        <v>7.0</v>
      </c>
      <c r="B9" s="17" t="s">
        <v>32</v>
      </c>
      <c r="C9" s="24" t="s">
        <v>33</v>
      </c>
      <c r="D9" s="33" t="s">
        <v>34</v>
      </c>
      <c r="E9" s="32" t="s">
        <v>35</v>
      </c>
      <c r="F9" s="27">
        <v>1927.0</v>
      </c>
      <c r="G9" s="28">
        <v>4.0</v>
      </c>
      <c r="H9" s="29" t="s">
        <v>36</v>
      </c>
    </row>
    <row r="10">
      <c r="A10" s="16">
        <v>8.0</v>
      </c>
      <c r="B10" s="17" t="s">
        <v>37</v>
      </c>
      <c r="C10" s="24" t="s">
        <v>38</v>
      </c>
      <c r="D10" s="33" t="s">
        <v>39</v>
      </c>
      <c r="E10" s="32" t="s">
        <v>40</v>
      </c>
      <c r="F10" s="27">
        <v>614.0</v>
      </c>
      <c r="G10" s="28">
        <v>1.0</v>
      </c>
      <c r="H10" s="29">
        <v>243.0</v>
      </c>
    </row>
    <row r="11">
      <c r="A11" s="16">
        <v>9.0</v>
      </c>
      <c r="B11" s="17" t="s">
        <v>41</v>
      </c>
      <c r="C11" s="24" t="s">
        <v>42</v>
      </c>
      <c r="D11" s="33" t="s">
        <v>43</v>
      </c>
      <c r="E11" s="32" t="s">
        <v>44</v>
      </c>
      <c r="F11" s="27">
        <v>1590.0</v>
      </c>
      <c r="G11" s="28">
        <v>3.0</v>
      </c>
      <c r="H11" s="29" t="s">
        <v>45</v>
      </c>
    </row>
    <row r="12">
      <c r="A12" s="16">
        <v>10.0</v>
      </c>
      <c r="B12" s="17" t="s">
        <v>46</v>
      </c>
      <c r="C12" s="24" t="s">
        <v>47</v>
      </c>
      <c r="D12" s="33" t="s">
        <v>48</v>
      </c>
      <c r="E12" s="32" t="s">
        <v>49</v>
      </c>
      <c r="F12" s="27">
        <v>1098.0</v>
      </c>
      <c r="G12" s="28">
        <v>2.0</v>
      </c>
      <c r="H12" s="29" t="s">
        <v>50</v>
      </c>
    </row>
    <row r="13">
      <c r="A13" s="16">
        <v>11.0</v>
      </c>
      <c r="B13" s="17" t="s">
        <v>51</v>
      </c>
      <c r="C13" s="24" t="s">
        <v>52</v>
      </c>
      <c r="D13" s="25" t="s">
        <v>53</v>
      </c>
      <c r="E13" s="32" t="s">
        <v>54</v>
      </c>
      <c r="F13" s="27">
        <v>453.0</v>
      </c>
      <c r="G13" s="28">
        <v>1.0</v>
      </c>
      <c r="H13" s="29">
        <v>249.0</v>
      </c>
    </row>
    <row r="14">
      <c r="A14" s="16">
        <v>12.0</v>
      </c>
      <c r="B14" s="17" t="s">
        <v>55</v>
      </c>
      <c r="C14" s="24" t="s">
        <v>56</v>
      </c>
      <c r="D14" s="34" t="s">
        <v>57</v>
      </c>
      <c r="E14" s="32" t="s">
        <v>58</v>
      </c>
      <c r="F14" s="27">
        <v>643.0</v>
      </c>
      <c r="G14" s="28">
        <v>1.0</v>
      </c>
      <c r="H14" s="29">
        <v>250.0</v>
      </c>
    </row>
    <row r="15">
      <c r="A15" s="16">
        <v>13.0</v>
      </c>
      <c r="B15" s="17" t="s">
        <v>59</v>
      </c>
      <c r="C15" s="24" t="s">
        <v>60</v>
      </c>
      <c r="D15" s="33" t="s">
        <v>61</v>
      </c>
      <c r="E15" s="32" t="s">
        <v>62</v>
      </c>
      <c r="F15" s="27">
        <v>1077.0</v>
      </c>
      <c r="G15" s="28">
        <v>2.0</v>
      </c>
      <c r="H15" s="29" t="s">
        <v>63</v>
      </c>
    </row>
    <row r="16">
      <c r="A16" s="16">
        <v>14.0</v>
      </c>
      <c r="B16" s="17" t="s">
        <v>64</v>
      </c>
      <c r="C16" s="24" t="s">
        <v>65</v>
      </c>
      <c r="D16" s="33" t="s">
        <v>66</v>
      </c>
      <c r="E16" s="32" t="s">
        <v>67</v>
      </c>
      <c r="F16" s="27">
        <v>524.0</v>
      </c>
      <c r="G16" s="28">
        <v>1.0</v>
      </c>
      <c r="H16" s="29">
        <v>253.0</v>
      </c>
    </row>
    <row r="17">
      <c r="A17" s="16">
        <v>15.0</v>
      </c>
      <c r="B17" s="17" t="s">
        <v>68</v>
      </c>
      <c r="C17" s="24" t="s">
        <v>69</v>
      </c>
      <c r="D17" s="33" t="s">
        <v>70</v>
      </c>
      <c r="E17" s="32" t="s">
        <v>71</v>
      </c>
      <c r="F17" s="27">
        <v>1287.0</v>
      </c>
      <c r="G17" s="28">
        <v>3.0</v>
      </c>
      <c r="H17" s="29" t="s">
        <v>72</v>
      </c>
    </row>
    <row r="18">
      <c r="A18" s="16">
        <v>16.0</v>
      </c>
      <c r="B18" s="17" t="s">
        <v>73</v>
      </c>
      <c r="C18" s="24" t="s">
        <v>74</v>
      </c>
      <c r="D18" s="33" t="s">
        <v>75</v>
      </c>
      <c r="E18" s="32" t="s">
        <v>76</v>
      </c>
      <c r="F18" s="27">
        <v>2264.0</v>
      </c>
      <c r="G18" s="28">
        <v>4.0</v>
      </c>
      <c r="H18" s="35" t="s">
        <v>77</v>
      </c>
    </row>
    <row r="19">
      <c r="A19" s="16">
        <v>17.0</v>
      </c>
      <c r="B19" s="17" t="s">
        <v>78</v>
      </c>
      <c r="C19" s="24" t="s">
        <v>79</v>
      </c>
      <c r="D19" s="25" t="s">
        <v>80</v>
      </c>
      <c r="E19" s="32" t="s">
        <v>81</v>
      </c>
      <c r="F19" s="36">
        <v>666.0</v>
      </c>
      <c r="G19" s="37">
        <v>2.0</v>
      </c>
      <c r="H19" s="38" t="s">
        <v>82</v>
      </c>
    </row>
    <row r="20">
      <c r="A20" s="16">
        <v>18.0</v>
      </c>
      <c r="B20" s="17" t="s">
        <v>83</v>
      </c>
      <c r="C20" s="30" t="s">
        <v>84</v>
      </c>
      <c r="D20" s="31" t="s">
        <v>85</v>
      </c>
      <c r="E20" s="26" t="s">
        <v>86</v>
      </c>
      <c r="F20" s="36">
        <v>1725.0</v>
      </c>
      <c r="G20" s="37">
        <v>3.0</v>
      </c>
      <c r="H20" s="38" t="s">
        <v>87</v>
      </c>
    </row>
    <row r="21">
      <c r="A21" s="16">
        <v>18.0</v>
      </c>
      <c r="B21" s="17" t="s">
        <v>88</v>
      </c>
      <c r="C21" s="24" t="s">
        <v>89</v>
      </c>
      <c r="D21" s="33" t="s">
        <v>90</v>
      </c>
      <c r="E21" s="32" t="s">
        <v>91</v>
      </c>
      <c r="F21" s="27">
        <v>502.0</v>
      </c>
      <c r="G21" s="28">
        <v>1.0</v>
      </c>
      <c r="H21" s="29">
        <v>266.0</v>
      </c>
    </row>
    <row r="22">
      <c r="A22" s="16">
        <v>20.0</v>
      </c>
      <c r="B22" s="17" t="s">
        <v>92</v>
      </c>
      <c r="C22" s="24" t="s">
        <v>93</v>
      </c>
      <c r="D22" s="33" t="s">
        <v>94</v>
      </c>
      <c r="E22" s="32" t="s">
        <v>95</v>
      </c>
      <c r="F22" s="27">
        <v>2432.0</v>
      </c>
      <c r="G22" s="28">
        <v>4.0</v>
      </c>
      <c r="H22" s="35" t="s">
        <v>96</v>
      </c>
    </row>
    <row r="23">
      <c r="A23" s="16">
        <v>21.0</v>
      </c>
      <c r="B23" s="17" t="s">
        <v>97</v>
      </c>
      <c r="C23" s="24" t="s">
        <v>98</v>
      </c>
      <c r="D23" s="33" t="s">
        <v>99</v>
      </c>
      <c r="E23" s="32" t="s">
        <v>100</v>
      </c>
      <c r="F23" s="27">
        <v>458.0</v>
      </c>
      <c r="G23" s="28">
        <v>1.0</v>
      </c>
      <c r="H23" s="29">
        <v>271.0</v>
      </c>
    </row>
    <row r="24">
      <c r="A24" s="16">
        <v>22.0</v>
      </c>
      <c r="B24" s="17" t="s">
        <v>101</v>
      </c>
      <c r="C24" s="24" t="s">
        <v>102</v>
      </c>
      <c r="D24" s="33" t="s">
        <v>103</v>
      </c>
      <c r="E24" s="32" t="s">
        <v>104</v>
      </c>
      <c r="F24" s="27">
        <v>1453.0</v>
      </c>
      <c r="G24" s="28">
        <v>3.0</v>
      </c>
      <c r="H24" s="29" t="s">
        <v>105</v>
      </c>
    </row>
    <row r="25">
      <c r="A25" s="16">
        <v>23.0</v>
      </c>
      <c r="B25" s="17" t="s">
        <v>106</v>
      </c>
      <c r="C25" s="24" t="s">
        <v>107</v>
      </c>
      <c r="D25" s="33" t="s">
        <v>108</v>
      </c>
      <c r="E25" s="32" t="s">
        <v>109</v>
      </c>
      <c r="F25" s="27">
        <v>1688.0</v>
      </c>
      <c r="G25" s="28">
        <v>3.0</v>
      </c>
      <c r="H25" s="29" t="s">
        <v>110</v>
      </c>
    </row>
    <row r="26">
      <c r="A26" s="16">
        <v>24.0</v>
      </c>
      <c r="B26" s="17" t="s">
        <v>111</v>
      </c>
      <c r="C26" s="24" t="s">
        <v>112</v>
      </c>
      <c r="D26" s="25" t="s">
        <v>113</v>
      </c>
      <c r="E26" s="32" t="s">
        <v>114</v>
      </c>
      <c r="F26" s="27">
        <v>861.0</v>
      </c>
      <c r="G26" s="28">
        <v>2.0</v>
      </c>
      <c r="H26" s="35" t="s">
        <v>115</v>
      </c>
    </row>
    <row r="27">
      <c r="A27" s="16">
        <v>25.0</v>
      </c>
      <c r="B27" s="17" t="s">
        <v>116</v>
      </c>
      <c r="C27" s="24" t="s">
        <v>117</v>
      </c>
      <c r="D27" s="25" t="s">
        <v>118</v>
      </c>
      <c r="E27" s="32" t="s">
        <v>119</v>
      </c>
      <c r="F27" s="27">
        <v>914.0</v>
      </c>
      <c r="G27" s="28">
        <v>2.0</v>
      </c>
      <c r="H27" s="29" t="s">
        <v>120</v>
      </c>
    </row>
    <row r="28">
      <c r="A28" s="16">
        <v>26.0</v>
      </c>
      <c r="B28" s="17" t="s">
        <v>121</v>
      </c>
      <c r="C28" s="24" t="s">
        <v>122</v>
      </c>
      <c r="D28" s="33" t="s">
        <v>123</v>
      </c>
      <c r="E28" s="32" t="s">
        <v>124</v>
      </c>
      <c r="F28" s="27">
        <v>2220.0</v>
      </c>
      <c r="G28" s="28">
        <v>4.0</v>
      </c>
      <c r="H28" s="35" t="s">
        <v>125</v>
      </c>
    </row>
    <row r="29">
      <c r="A29" s="16">
        <v>27.0</v>
      </c>
      <c r="B29" s="17" t="s">
        <v>126</v>
      </c>
      <c r="C29" s="24" t="s">
        <v>127</v>
      </c>
      <c r="D29" s="33" t="s">
        <v>128</v>
      </c>
      <c r="E29" s="32" t="s">
        <v>129</v>
      </c>
      <c r="F29" s="36">
        <v>2587.0</v>
      </c>
      <c r="G29" s="37">
        <v>5.0</v>
      </c>
      <c r="H29" s="39" t="s">
        <v>130</v>
      </c>
    </row>
    <row r="30">
      <c r="A30" s="16">
        <v>28.0</v>
      </c>
      <c r="B30" s="17" t="s">
        <v>131</v>
      </c>
      <c r="C30" s="24" t="s">
        <v>132</v>
      </c>
      <c r="D30" s="34" t="s">
        <v>133</v>
      </c>
      <c r="E30" s="32" t="s">
        <v>134</v>
      </c>
      <c r="F30" s="27">
        <v>824.0</v>
      </c>
      <c r="G30" s="28">
        <v>2.0</v>
      </c>
      <c r="H30" s="29" t="s">
        <v>135</v>
      </c>
    </row>
    <row r="31">
      <c r="A31" s="16">
        <v>29.0</v>
      </c>
      <c r="B31" s="17" t="s">
        <v>136</v>
      </c>
      <c r="C31" s="24" t="s">
        <v>137</v>
      </c>
      <c r="D31" s="33" t="s">
        <v>138</v>
      </c>
      <c r="E31" s="32" t="s">
        <v>139</v>
      </c>
      <c r="F31" s="27">
        <v>1117.0</v>
      </c>
      <c r="G31" s="28">
        <v>2.0</v>
      </c>
      <c r="H31" s="29" t="s">
        <v>140</v>
      </c>
    </row>
    <row r="32">
      <c r="A32" s="16">
        <v>30.0</v>
      </c>
      <c r="B32" s="17" t="s">
        <v>141</v>
      </c>
      <c r="C32" s="24" t="s">
        <v>142</v>
      </c>
      <c r="D32" s="33" t="s">
        <v>143</v>
      </c>
      <c r="E32" s="32" t="s">
        <v>144</v>
      </c>
      <c r="F32" s="27">
        <v>1020.0</v>
      </c>
      <c r="G32" s="28">
        <v>2.0</v>
      </c>
      <c r="H32" s="29" t="s">
        <v>145</v>
      </c>
    </row>
    <row r="33">
      <c r="A33" s="16">
        <v>31.0</v>
      </c>
      <c r="B33" s="17" t="s">
        <v>146</v>
      </c>
      <c r="C33" s="24" t="s">
        <v>147</v>
      </c>
      <c r="D33" s="33" t="s">
        <v>148</v>
      </c>
      <c r="E33" s="32" t="s">
        <v>149</v>
      </c>
      <c r="F33" s="27">
        <v>565.0</v>
      </c>
      <c r="G33" s="28">
        <v>1.0</v>
      </c>
      <c r="H33" s="29">
        <v>297.0</v>
      </c>
    </row>
    <row r="34">
      <c r="A34" s="16">
        <v>32.0</v>
      </c>
      <c r="B34" s="17" t="s">
        <v>150</v>
      </c>
      <c r="C34" s="24" t="s">
        <v>151</v>
      </c>
      <c r="D34" s="25" t="s">
        <v>152</v>
      </c>
      <c r="E34" s="32" t="s">
        <v>153</v>
      </c>
      <c r="F34" s="36">
        <v>2987.0</v>
      </c>
      <c r="G34" s="37">
        <v>5.0</v>
      </c>
      <c r="H34" s="39" t="s">
        <v>154</v>
      </c>
    </row>
    <row r="35">
      <c r="A35" s="16">
        <v>33.0</v>
      </c>
      <c r="B35" s="17" t="s">
        <v>155</v>
      </c>
      <c r="C35" s="24" t="s">
        <v>156</v>
      </c>
      <c r="D35" s="33" t="s">
        <v>157</v>
      </c>
      <c r="E35" s="32" t="s">
        <v>158</v>
      </c>
      <c r="F35" s="27">
        <v>561.0</v>
      </c>
      <c r="G35" s="28">
        <v>1.0</v>
      </c>
      <c r="H35" s="29">
        <v>303.0</v>
      </c>
    </row>
    <row r="36">
      <c r="A36" s="16">
        <v>34.0</v>
      </c>
      <c r="B36" s="17" t="s">
        <v>159</v>
      </c>
      <c r="C36" s="24" t="s">
        <v>160</v>
      </c>
      <c r="D36" s="33" t="s">
        <v>161</v>
      </c>
      <c r="E36" s="32" t="s">
        <v>162</v>
      </c>
      <c r="F36" s="27">
        <v>425.0</v>
      </c>
      <c r="G36" s="28">
        <v>1.0</v>
      </c>
      <c r="H36" s="29">
        <v>304.0</v>
      </c>
    </row>
    <row r="37">
      <c r="A37" s="16">
        <v>35.0</v>
      </c>
      <c r="B37" s="17" t="s">
        <v>163</v>
      </c>
      <c r="C37" s="24" t="s">
        <v>164</v>
      </c>
      <c r="D37" s="33" t="s">
        <v>165</v>
      </c>
      <c r="E37" s="32" t="s">
        <v>166</v>
      </c>
      <c r="F37" s="36">
        <v>2945.0</v>
      </c>
      <c r="G37" s="37">
        <v>5.0</v>
      </c>
      <c r="H37" s="39" t="s">
        <v>167</v>
      </c>
    </row>
    <row r="38">
      <c r="A38" s="16">
        <v>36.0</v>
      </c>
      <c r="B38" s="17" t="s">
        <v>168</v>
      </c>
      <c r="C38" s="24" t="s">
        <v>169</v>
      </c>
      <c r="D38" s="33" t="s">
        <v>170</v>
      </c>
      <c r="E38" s="32" t="s">
        <v>171</v>
      </c>
      <c r="F38" s="27">
        <v>1665.0</v>
      </c>
      <c r="G38" s="28">
        <v>3.0</v>
      </c>
      <c r="H38" s="29" t="s">
        <v>172</v>
      </c>
    </row>
    <row r="39">
      <c r="A39" s="16">
        <v>37.0</v>
      </c>
      <c r="B39" s="17" t="s">
        <v>173</v>
      </c>
      <c r="C39" s="24" t="s">
        <v>174</v>
      </c>
      <c r="D39" s="33" t="s">
        <v>175</v>
      </c>
      <c r="E39" s="32" t="s">
        <v>176</v>
      </c>
      <c r="F39" s="27">
        <v>1196.0</v>
      </c>
      <c r="G39" s="28">
        <v>2.0</v>
      </c>
      <c r="H39" s="29" t="s">
        <v>177</v>
      </c>
    </row>
    <row r="40">
      <c r="A40" s="16">
        <v>38.0</v>
      </c>
      <c r="B40" s="17" t="s">
        <v>178</v>
      </c>
      <c r="C40" s="24" t="s">
        <v>179</v>
      </c>
      <c r="D40" s="33" t="s">
        <v>180</v>
      </c>
      <c r="E40" s="32" t="s">
        <v>181</v>
      </c>
      <c r="F40" s="27">
        <v>1304.0</v>
      </c>
      <c r="G40" s="28">
        <v>2.0</v>
      </c>
      <c r="H40" s="29" t="s">
        <v>182</v>
      </c>
    </row>
    <row r="41">
      <c r="A41" s="16">
        <v>39.0</v>
      </c>
      <c r="B41" s="17" t="s">
        <v>183</v>
      </c>
      <c r="C41" s="24" t="s">
        <v>184</v>
      </c>
      <c r="D41" s="33" t="s">
        <v>185</v>
      </c>
      <c r="E41" s="32" t="s">
        <v>186</v>
      </c>
      <c r="F41" s="27">
        <v>3403.0</v>
      </c>
      <c r="G41" s="28">
        <v>6.0</v>
      </c>
      <c r="H41" s="35" t="s">
        <v>187</v>
      </c>
    </row>
    <row r="42">
      <c r="A42" s="16">
        <v>40.0</v>
      </c>
      <c r="B42" s="17" t="s">
        <v>188</v>
      </c>
      <c r="C42" s="24" t="s">
        <v>189</v>
      </c>
      <c r="D42" s="33" t="s">
        <v>190</v>
      </c>
      <c r="E42" s="32" t="s">
        <v>191</v>
      </c>
      <c r="F42" s="27">
        <v>2415.0</v>
      </c>
      <c r="G42" s="28">
        <v>4.0</v>
      </c>
      <c r="H42" s="35" t="s">
        <v>192</v>
      </c>
    </row>
    <row r="43">
      <c r="A43" s="16">
        <v>41.0</v>
      </c>
      <c r="B43" s="17" t="s">
        <v>193</v>
      </c>
      <c r="C43" s="24" t="s">
        <v>194</v>
      </c>
      <c r="D43" s="33" t="s">
        <v>195</v>
      </c>
      <c r="E43" s="32" t="s">
        <v>196</v>
      </c>
      <c r="F43" s="27">
        <v>1941.0</v>
      </c>
      <c r="G43" s="28">
        <v>4.0</v>
      </c>
      <c r="H43" s="35" t="s">
        <v>197</v>
      </c>
    </row>
    <row r="44">
      <c r="A44" s="16">
        <v>42.0</v>
      </c>
      <c r="B44" s="17" t="s">
        <v>198</v>
      </c>
      <c r="C44" s="24" t="s">
        <v>199</v>
      </c>
      <c r="D44" s="33" t="s">
        <v>200</v>
      </c>
      <c r="E44" s="32" t="s">
        <v>201</v>
      </c>
      <c r="F44" s="27">
        <v>584.0</v>
      </c>
      <c r="G44" s="28">
        <v>1.0</v>
      </c>
      <c r="H44" s="29">
        <v>332.0</v>
      </c>
    </row>
    <row r="45">
      <c r="A45" s="16">
        <v>43.0</v>
      </c>
      <c r="B45" s="17" t="s">
        <v>202</v>
      </c>
      <c r="C45" s="24" t="s">
        <v>203</v>
      </c>
      <c r="D45" s="25" t="s">
        <v>204</v>
      </c>
      <c r="E45" s="32" t="s">
        <v>205</v>
      </c>
      <c r="F45" s="27">
        <v>480.0</v>
      </c>
      <c r="G45" s="28">
        <v>1.0</v>
      </c>
      <c r="H45" s="29">
        <v>333.0</v>
      </c>
    </row>
    <row r="46">
      <c r="A46" s="16">
        <v>44.0</v>
      </c>
      <c r="B46" s="17" t="s">
        <v>206</v>
      </c>
      <c r="C46" s="24" t="s">
        <v>207</v>
      </c>
      <c r="D46" s="33" t="s">
        <v>208</v>
      </c>
      <c r="E46" s="32" t="s">
        <v>209</v>
      </c>
      <c r="F46" s="27">
        <v>574.0</v>
      </c>
      <c r="G46" s="28">
        <v>1.0</v>
      </c>
      <c r="H46" s="29">
        <v>334.0</v>
      </c>
    </row>
    <row r="47">
      <c r="A47" s="16">
        <v>45.0</v>
      </c>
      <c r="B47" s="17" t="s">
        <v>210</v>
      </c>
      <c r="C47" s="24" t="s">
        <v>211</v>
      </c>
      <c r="D47" s="33" t="s">
        <v>212</v>
      </c>
      <c r="E47" s="32" t="s">
        <v>213</v>
      </c>
      <c r="F47" s="27">
        <v>496.0</v>
      </c>
      <c r="G47" s="28">
        <v>1.0</v>
      </c>
      <c r="H47" s="29">
        <v>335.0</v>
      </c>
    </row>
    <row r="48">
      <c r="A48" s="16">
        <v>46.0</v>
      </c>
      <c r="B48" s="17" t="s">
        <v>214</v>
      </c>
      <c r="C48" s="24" t="s">
        <v>215</v>
      </c>
      <c r="D48" s="25" t="s">
        <v>216</v>
      </c>
      <c r="E48" s="32" t="s">
        <v>217</v>
      </c>
      <c r="F48" s="27">
        <v>675.0</v>
      </c>
      <c r="G48" s="28">
        <v>2.0</v>
      </c>
      <c r="H48" s="29" t="s">
        <v>218</v>
      </c>
    </row>
    <row r="49">
      <c r="A49" s="16">
        <v>47.0</v>
      </c>
      <c r="B49" s="17" t="s">
        <v>219</v>
      </c>
      <c r="C49" s="24" t="s">
        <v>220</v>
      </c>
      <c r="D49" s="25" t="s">
        <v>221</v>
      </c>
      <c r="E49" s="32" t="s">
        <v>222</v>
      </c>
      <c r="F49" s="36">
        <v>1500.0</v>
      </c>
      <c r="G49" s="37">
        <v>3.0</v>
      </c>
      <c r="H49" s="38" t="s">
        <v>223</v>
      </c>
    </row>
    <row r="50">
      <c r="A50" s="16">
        <v>48.0</v>
      </c>
      <c r="B50" s="17" t="s">
        <v>224</v>
      </c>
      <c r="C50" s="24" t="s">
        <v>225</v>
      </c>
      <c r="D50" s="33" t="s">
        <v>226</v>
      </c>
      <c r="E50" s="32" t="s">
        <v>227</v>
      </c>
      <c r="F50" s="27">
        <v>2202.0</v>
      </c>
      <c r="G50" s="28">
        <v>4.0</v>
      </c>
      <c r="H50" s="35" t="s">
        <v>228</v>
      </c>
    </row>
    <row r="51">
      <c r="A51" s="16">
        <v>49.0</v>
      </c>
      <c r="B51" s="17" t="s">
        <v>229</v>
      </c>
      <c r="C51" s="24" t="s">
        <v>230</v>
      </c>
      <c r="D51" s="33" t="s">
        <v>231</v>
      </c>
      <c r="E51" s="32" t="s">
        <v>232</v>
      </c>
      <c r="F51" s="27">
        <v>1163.0</v>
      </c>
      <c r="G51" s="28">
        <v>2.0</v>
      </c>
      <c r="H51" s="29" t="s">
        <v>233</v>
      </c>
    </row>
    <row r="52">
      <c r="A52" s="16">
        <v>50.0</v>
      </c>
      <c r="B52" s="17" t="s">
        <v>234</v>
      </c>
      <c r="C52" s="24" t="s">
        <v>235</v>
      </c>
      <c r="D52" s="33" t="s">
        <v>236</v>
      </c>
      <c r="E52" s="32" t="s">
        <v>237</v>
      </c>
      <c r="F52" s="36">
        <v>2144.0</v>
      </c>
      <c r="G52" s="37">
        <v>4.0</v>
      </c>
      <c r="H52" s="39" t="s">
        <v>238</v>
      </c>
    </row>
    <row r="53">
      <c r="A53" s="16">
        <v>51.0</v>
      </c>
      <c r="B53" s="17" t="s">
        <v>239</v>
      </c>
      <c r="C53" s="24" t="s">
        <v>240</v>
      </c>
      <c r="D53" s="33" t="s">
        <v>241</v>
      </c>
      <c r="E53" s="32" t="s">
        <v>242</v>
      </c>
      <c r="F53" s="27">
        <v>794.0</v>
      </c>
      <c r="G53" s="28">
        <v>2.0</v>
      </c>
      <c r="H53" s="29" t="s">
        <v>243</v>
      </c>
    </row>
    <row r="54">
      <c r="A54" s="16">
        <v>52.0</v>
      </c>
      <c r="B54" s="17" t="s">
        <v>244</v>
      </c>
      <c r="C54" s="24" t="s">
        <v>245</v>
      </c>
      <c r="D54" s="33" t="s">
        <v>246</v>
      </c>
      <c r="E54" s="32" t="s">
        <v>247</v>
      </c>
      <c r="F54" s="27">
        <v>2338.0</v>
      </c>
      <c r="G54" s="28">
        <v>4.0</v>
      </c>
      <c r="H54" s="35" t="s">
        <v>248</v>
      </c>
    </row>
    <row r="55">
      <c r="A55" s="16">
        <v>53.0</v>
      </c>
      <c r="B55" s="17" t="s">
        <v>249</v>
      </c>
      <c r="C55" s="24" t="s">
        <v>250</v>
      </c>
      <c r="D55" s="33" t="s">
        <v>251</v>
      </c>
      <c r="E55" s="32" t="s">
        <v>252</v>
      </c>
      <c r="F55" s="27">
        <v>1518.0</v>
      </c>
      <c r="G55" s="28">
        <v>3.0</v>
      </c>
      <c r="H55" s="29" t="s">
        <v>253</v>
      </c>
    </row>
    <row r="56">
      <c r="A56" s="16">
        <v>54.0</v>
      </c>
      <c r="B56" s="17" t="s">
        <v>254</v>
      </c>
      <c r="C56" s="24" t="s">
        <v>255</v>
      </c>
      <c r="D56" s="33" t="s">
        <v>256</v>
      </c>
      <c r="E56" s="32" t="s">
        <v>257</v>
      </c>
      <c r="F56" s="27">
        <v>936.0</v>
      </c>
      <c r="G56" s="28">
        <v>2.0</v>
      </c>
      <c r="H56" s="29" t="s">
        <v>258</v>
      </c>
    </row>
    <row r="57">
      <c r="A57" s="16">
        <v>55.0</v>
      </c>
      <c r="B57" s="17" t="s">
        <v>259</v>
      </c>
      <c r="C57" s="24" t="s">
        <v>260</v>
      </c>
      <c r="D57" s="33" t="s">
        <v>261</v>
      </c>
      <c r="E57" s="32" t="s">
        <v>262</v>
      </c>
      <c r="F57" s="27">
        <v>1014.0</v>
      </c>
      <c r="G57" s="28">
        <v>2.0</v>
      </c>
      <c r="H57" s="29" t="s">
        <v>263</v>
      </c>
    </row>
    <row r="58">
      <c r="A58" s="16">
        <v>56.0</v>
      </c>
      <c r="B58" s="17" t="s">
        <v>264</v>
      </c>
      <c r="C58" s="24" t="s">
        <v>265</v>
      </c>
      <c r="D58" s="33" t="s">
        <v>266</v>
      </c>
      <c r="E58" s="32" t="s">
        <v>267</v>
      </c>
      <c r="F58" s="27">
        <v>515.0</v>
      </c>
      <c r="G58" s="28">
        <v>1.0</v>
      </c>
      <c r="H58" s="29">
        <v>364.0</v>
      </c>
    </row>
    <row r="59">
      <c r="A59" s="16">
        <v>57.0</v>
      </c>
      <c r="B59" s="17" t="s">
        <v>268</v>
      </c>
      <c r="C59" s="24" t="s">
        <v>269</v>
      </c>
      <c r="D59" s="33" t="s">
        <v>270</v>
      </c>
      <c r="E59" s="32" t="s">
        <v>271</v>
      </c>
      <c r="F59" s="27">
        <v>1006.0</v>
      </c>
      <c r="G59" s="28">
        <v>2.0</v>
      </c>
      <c r="H59" s="29" t="s">
        <v>272</v>
      </c>
    </row>
    <row r="60">
      <c r="A60" s="40"/>
      <c r="B60" s="41"/>
      <c r="C60" s="42"/>
      <c r="D60" s="42"/>
      <c r="E60" s="42"/>
      <c r="F60" s="43">
        <f t="shared" ref="F60:G60" si="1">SUM(F4:F59)</f>
        <v>71962</v>
      </c>
      <c r="G60" s="44">
        <f t="shared" si="1"/>
        <v>136</v>
      </c>
      <c r="H60" s="45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</row>
    <row r="61">
      <c r="B61" s="47"/>
      <c r="H61" s="48"/>
    </row>
    <row r="62">
      <c r="B62" s="47"/>
      <c r="H62" s="48"/>
    </row>
    <row r="63">
      <c r="B63" s="47"/>
      <c r="H63" s="48"/>
    </row>
    <row r="64">
      <c r="B64" s="47"/>
      <c r="H64" s="48"/>
    </row>
    <row r="65">
      <c r="B65" s="47"/>
      <c r="H65" s="48"/>
    </row>
    <row r="66">
      <c r="B66" s="47"/>
      <c r="H66" s="48"/>
    </row>
    <row r="67">
      <c r="B67" s="47"/>
      <c r="H67" s="48"/>
    </row>
    <row r="68">
      <c r="B68" s="47"/>
      <c r="H68" s="48"/>
    </row>
    <row r="69">
      <c r="B69" s="47"/>
      <c r="H69" s="48"/>
    </row>
    <row r="70">
      <c r="B70" s="47"/>
      <c r="H70" s="48"/>
    </row>
    <row r="71">
      <c r="B71" s="47"/>
      <c r="H71" s="48"/>
    </row>
    <row r="72">
      <c r="B72" s="47"/>
      <c r="H72" s="48"/>
    </row>
    <row r="73">
      <c r="B73" s="47"/>
      <c r="H73" s="48"/>
    </row>
    <row r="74">
      <c r="B74" s="47"/>
      <c r="H74" s="48"/>
    </row>
    <row r="75">
      <c r="B75" s="47"/>
      <c r="H75" s="48"/>
    </row>
    <row r="76">
      <c r="B76" s="47"/>
      <c r="H76" s="48"/>
    </row>
    <row r="77">
      <c r="B77" s="47"/>
      <c r="H77" s="48"/>
    </row>
    <row r="78">
      <c r="B78" s="47"/>
      <c r="H78" s="48"/>
    </row>
    <row r="79">
      <c r="B79" s="47"/>
      <c r="H79" s="48"/>
    </row>
    <row r="80">
      <c r="B80" s="47"/>
      <c r="H80" s="48"/>
    </row>
    <row r="81">
      <c r="B81" s="47"/>
      <c r="H81" s="48"/>
    </row>
    <row r="82">
      <c r="B82" s="47"/>
      <c r="H82" s="48"/>
    </row>
    <row r="83">
      <c r="B83" s="47"/>
      <c r="H83" s="48"/>
    </row>
    <row r="84">
      <c r="B84" s="47"/>
      <c r="H84" s="48"/>
    </row>
    <row r="85">
      <c r="B85" s="47"/>
      <c r="H85" s="48"/>
    </row>
    <row r="86">
      <c r="B86" s="47"/>
      <c r="H86" s="48"/>
    </row>
    <row r="87">
      <c r="B87" s="47"/>
      <c r="H87" s="48"/>
    </row>
    <row r="88">
      <c r="B88" s="47"/>
      <c r="H88" s="48"/>
    </row>
    <row r="89">
      <c r="B89" s="47"/>
      <c r="H89" s="48"/>
    </row>
    <row r="90">
      <c r="B90" s="47"/>
      <c r="H90" s="48"/>
    </row>
    <row r="91">
      <c r="B91" s="47"/>
      <c r="H91" s="48"/>
    </row>
    <row r="92">
      <c r="B92" s="47"/>
      <c r="H92" s="48"/>
    </row>
    <row r="93">
      <c r="B93" s="47"/>
      <c r="H93" s="48"/>
    </row>
    <row r="94">
      <c r="B94" s="47"/>
      <c r="H94" s="48"/>
    </row>
    <row r="95">
      <c r="B95" s="47"/>
      <c r="H95" s="48"/>
    </row>
    <row r="96">
      <c r="B96" s="47"/>
      <c r="H96" s="48"/>
    </row>
    <row r="97">
      <c r="B97" s="47"/>
      <c r="H97" s="48"/>
    </row>
    <row r="98">
      <c r="B98" s="47"/>
      <c r="H98" s="48"/>
    </row>
    <row r="99">
      <c r="B99" s="47"/>
      <c r="H99" s="48"/>
    </row>
    <row r="100">
      <c r="B100" s="47"/>
      <c r="H100" s="48"/>
    </row>
    <row r="101">
      <c r="B101" s="47"/>
      <c r="H101" s="48"/>
    </row>
    <row r="102">
      <c r="B102" s="47"/>
      <c r="H102" s="48"/>
    </row>
    <row r="103">
      <c r="B103" s="47"/>
      <c r="H103" s="48"/>
    </row>
    <row r="104">
      <c r="B104" s="47"/>
      <c r="H104" s="48"/>
    </row>
    <row r="105">
      <c r="B105" s="47"/>
      <c r="H105" s="48"/>
    </row>
    <row r="106">
      <c r="B106" s="47"/>
      <c r="H106" s="48"/>
    </row>
    <row r="107">
      <c r="B107" s="47"/>
      <c r="H107" s="48"/>
    </row>
    <row r="108">
      <c r="B108" s="47"/>
      <c r="H108" s="48"/>
    </row>
    <row r="109">
      <c r="B109" s="47"/>
      <c r="H109" s="48"/>
    </row>
    <row r="110">
      <c r="B110" s="47"/>
      <c r="H110" s="48"/>
    </row>
    <row r="111">
      <c r="B111" s="47"/>
      <c r="H111" s="48"/>
    </row>
    <row r="112">
      <c r="B112" s="47"/>
      <c r="H112" s="48"/>
    </row>
    <row r="113">
      <c r="B113" s="47"/>
      <c r="H113" s="48"/>
    </row>
    <row r="114">
      <c r="B114" s="47"/>
      <c r="H114" s="48"/>
    </row>
    <row r="115">
      <c r="B115" s="47"/>
      <c r="H115" s="48"/>
    </row>
    <row r="116">
      <c r="B116" s="47"/>
      <c r="H116" s="48"/>
    </row>
    <row r="117">
      <c r="B117" s="47"/>
      <c r="H117" s="48"/>
    </row>
    <row r="118">
      <c r="B118" s="47"/>
      <c r="H118" s="48"/>
    </row>
    <row r="119">
      <c r="B119" s="47"/>
      <c r="H119" s="48"/>
    </row>
    <row r="120">
      <c r="B120" s="47"/>
      <c r="H120" s="48"/>
    </row>
    <row r="121">
      <c r="B121" s="47"/>
      <c r="H121" s="48"/>
    </row>
    <row r="122">
      <c r="B122" s="47"/>
      <c r="H122" s="48"/>
    </row>
    <row r="123">
      <c r="B123" s="47"/>
      <c r="H123" s="48"/>
    </row>
    <row r="124">
      <c r="B124" s="47"/>
      <c r="H124" s="48"/>
    </row>
    <row r="125">
      <c r="B125" s="47"/>
      <c r="H125" s="48"/>
    </row>
    <row r="126">
      <c r="B126" s="47"/>
      <c r="H126" s="48"/>
    </row>
    <row r="127">
      <c r="B127" s="47"/>
      <c r="H127" s="48"/>
    </row>
    <row r="128">
      <c r="B128" s="47"/>
      <c r="H128" s="48"/>
    </row>
    <row r="129">
      <c r="B129" s="47"/>
      <c r="H129" s="48"/>
    </row>
    <row r="130">
      <c r="B130" s="47"/>
      <c r="H130" s="48"/>
    </row>
    <row r="131">
      <c r="B131" s="47"/>
      <c r="H131" s="48"/>
    </row>
    <row r="132">
      <c r="B132" s="47"/>
      <c r="H132" s="48"/>
    </row>
    <row r="133">
      <c r="B133" s="47"/>
      <c r="H133" s="48"/>
    </row>
    <row r="134">
      <c r="B134" s="47"/>
      <c r="H134" s="48"/>
    </row>
    <row r="135">
      <c r="B135" s="47"/>
      <c r="H135" s="48"/>
    </row>
    <row r="136">
      <c r="B136" s="47"/>
      <c r="H136" s="48"/>
    </row>
    <row r="137">
      <c r="B137" s="47"/>
      <c r="H137" s="48"/>
    </row>
    <row r="138">
      <c r="B138" s="47"/>
      <c r="H138" s="48"/>
    </row>
    <row r="139">
      <c r="B139" s="47"/>
      <c r="H139" s="48"/>
    </row>
    <row r="140">
      <c r="B140" s="47"/>
      <c r="H140" s="48"/>
    </row>
    <row r="141">
      <c r="B141" s="47"/>
      <c r="H141" s="48"/>
    </row>
    <row r="142">
      <c r="B142" s="47"/>
      <c r="H142" s="48"/>
    </row>
    <row r="143">
      <c r="B143" s="47"/>
      <c r="H143" s="48"/>
    </row>
    <row r="144">
      <c r="B144" s="47"/>
      <c r="H144" s="48"/>
    </row>
    <row r="145">
      <c r="B145" s="47"/>
      <c r="H145" s="48"/>
    </row>
    <row r="146">
      <c r="B146" s="47"/>
      <c r="H146" s="48"/>
    </row>
    <row r="147">
      <c r="B147" s="47"/>
      <c r="H147" s="48"/>
    </row>
    <row r="148">
      <c r="B148" s="47"/>
      <c r="H148" s="48"/>
    </row>
    <row r="149">
      <c r="B149" s="47"/>
      <c r="H149" s="48"/>
    </row>
    <row r="150">
      <c r="B150" s="47"/>
      <c r="H150" s="48"/>
    </row>
    <row r="151">
      <c r="B151" s="47"/>
      <c r="H151" s="48"/>
    </row>
    <row r="152">
      <c r="B152" s="47"/>
      <c r="H152" s="48"/>
    </row>
    <row r="153">
      <c r="B153" s="47"/>
      <c r="H153" s="48"/>
    </row>
    <row r="154">
      <c r="B154" s="47"/>
      <c r="H154" s="48"/>
    </row>
    <row r="155">
      <c r="B155" s="47"/>
      <c r="H155" s="48"/>
    </row>
    <row r="156">
      <c r="B156" s="47"/>
      <c r="H156" s="48"/>
    </row>
    <row r="157">
      <c r="B157" s="47"/>
      <c r="H157" s="48"/>
    </row>
    <row r="158">
      <c r="B158" s="47"/>
      <c r="H158" s="48"/>
    </row>
    <row r="159">
      <c r="B159" s="47"/>
      <c r="H159" s="48"/>
    </row>
    <row r="160">
      <c r="B160" s="47"/>
      <c r="H160" s="48"/>
    </row>
    <row r="161">
      <c r="B161" s="47"/>
      <c r="H161" s="48"/>
    </row>
    <row r="162">
      <c r="B162" s="47"/>
      <c r="H162" s="48"/>
    </row>
    <row r="163">
      <c r="B163" s="47"/>
      <c r="H163" s="48"/>
    </row>
    <row r="164">
      <c r="B164" s="47"/>
      <c r="H164" s="48"/>
    </row>
    <row r="165">
      <c r="B165" s="47"/>
      <c r="H165" s="48"/>
    </row>
    <row r="166">
      <c r="B166" s="47"/>
      <c r="H166" s="48"/>
    </row>
    <row r="167">
      <c r="B167" s="47"/>
      <c r="H167" s="48"/>
    </row>
    <row r="168">
      <c r="B168" s="47"/>
      <c r="H168" s="48"/>
    </row>
    <row r="169">
      <c r="B169" s="47"/>
      <c r="H169" s="48"/>
    </row>
    <row r="170">
      <c r="B170" s="47"/>
      <c r="H170" s="48"/>
    </row>
    <row r="171">
      <c r="B171" s="47"/>
      <c r="H171" s="48"/>
    </row>
    <row r="172">
      <c r="B172" s="47"/>
      <c r="H172" s="48"/>
    </row>
    <row r="173">
      <c r="B173" s="47"/>
      <c r="H173" s="48"/>
    </row>
    <row r="174">
      <c r="B174" s="47"/>
      <c r="H174" s="48"/>
    </row>
    <row r="175">
      <c r="B175" s="47"/>
      <c r="H175" s="48"/>
    </row>
    <row r="176">
      <c r="B176" s="47"/>
      <c r="H176" s="48"/>
    </row>
    <row r="177">
      <c r="B177" s="47"/>
      <c r="H177" s="48"/>
    </row>
    <row r="178">
      <c r="B178" s="47"/>
      <c r="H178" s="48"/>
    </row>
    <row r="179">
      <c r="B179" s="47"/>
      <c r="H179" s="48"/>
    </row>
    <row r="180">
      <c r="B180" s="47"/>
      <c r="H180" s="48"/>
    </row>
    <row r="181">
      <c r="B181" s="47"/>
      <c r="H181" s="48"/>
    </row>
    <row r="182">
      <c r="B182" s="47"/>
      <c r="H182" s="48"/>
    </row>
    <row r="183">
      <c r="B183" s="47"/>
      <c r="H183" s="48"/>
    </row>
    <row r="184">
      <c r="B184" s="47"/>
      <c r="H184" s="48"/>
    </row>
    <row r="185">
      <c r="B185" s="47"/>
      <c r="H185" s="48"/>
    </row>
    <row r="186">
      <c r="B186" s="47"/>
      <c r="H186" s="48"/>
    </row>
    <row r="187">
      <c r="B187" s="47"/>
      <c r="H187" s="48"/>
    </row>
    <row r="188">
      <c r="B188" s="47"/>
      <c r="H188" s="48"/>
    </row>
    <row r="189">
      <c r="B189" s="47"/>
      <c r="H189" s="48"/>
    </row>
    <row r="190">
      <c r="B190" s="47"/>
      <c r="H190" s="48"/>
    </row>
    <row r="191">
      <c r="B191" s="47"/>
      <c r="H191" s="48"/>
    </row>
    <row r="192">
      <c r="B192" s="47"/>
      <c r="H192" s="48"/>
    </row>
    <row r="193">
      <c r="B193" s="47"/>
      <c r="H193" s="48"/>
    </row>
    <row r="194">
      <c r="B194" s="47"/>
      <c r="H194" s="48"/>
    </row>
    <row r="195">
      <c r="B195" s="47"/>
      <c r="H195" s="48"/>
    </row>
    <row r="196">
      <c r="B196" s="47"/>
      <c r="H196" s="48"/>
    </row>
    <row r="197">
      <c r="B197" s="47"/>
      <c r="H197" s="48"/>
    </row>
    <row r="198">
      <c r="B198" s="47"/>
      <c r="H198" s="48"/>
    </row>
    <row r="199">
      <c r="B199" s="47"/>
      <c r="H199" s="48"/>
    </row>
    <row r="200">
      <c r="B200" s="47"/>
      <c r="H200" s="48"/>
    </row>
    <row r="201">
      <c r="B201" s="47"/>
      <c r="H201" s="48"/>
    </row>
    <row r="202">
      <c r="B202" s="47"/>
      <c r="H202" s="48"/>
    </row>
    <row r="203">
      <c r="B203" s="47"/>
      <c r="H203" s="48"/>
    </row>
    <row r="204">
      <c r="B204" s="47"/>
      <c r="H204" s="48"/>
    </row>
    <row r="205">
      <c r="B205" s="47"/>
      <c r="H205" s="48"/>
    </row>
    <row r="206">
      <c r="B206" s="47"/>
      <c r="H206" s="48"/>
    </row>
    <row r="207">
      <c r="B207" s="47"/>
      <c r="H207" s="48"/>
    </row>
    <row r="208">
      <c r="B208" s="47"/>
      <c r="H208" s="48"/>
    </row>
    <row r="209">
      <c r="B209" s="47"/>
      <c r="H209" s="48"/>
    </row>
    <row r="210">
      <c r="B210" s="47"/>
      <c r="H210" s="48"/>
    </row>
    <row r="211">
      <c r="B211" s="47"/>
      <c r="H211" s="48"/>
    </row>
    <row r="212">
      <c r="B212" s="47"/>
      <c r="H212" s="48"/>
    </row>
    <row r="213">
      <c r="B213" s="47"/>
      <c r="H213" s="48"/>
    </row>
    <row r="214">
      <c r="B214" s="47"/>
      <c r="H214" s="48"/>
    </row>
    <row r="215">
      <c r="B215" s="47"/>
      <c r="H215" s="48"/>
    </row>
    <row r="216">
      <c r="B216" s="47"/>
      <c r="H216" s="48"/>
    </row>
    <row r="217">
      <c r="B217" s="47"/>
      <c r="H217" s="48"/>
    </row>
    <row r="218">
      <c r="B218" s="47"/>
      <c r="H218" s="48"/>
    </row>
    <row r="219">
      <c r="B219" s="47"/>
      <c r="H219" s="48"/>
    </row>
    <row r="220">
      <c r="B220" s="47"/>
      <c r="H220" s="48"/>
    </row>
    <row r="221">
      <c r="B221" s="47"/>
      <c r="H221" s="48"/>
    </row>
    <row r="222">
      <c r="B222" s="47"/>
      <c r="H222" s="48"/>
    </row>
    <row r="223">
      <c r="B223" s="47"/>
      <c r="H223" s="48"/>
    </row>
    <row r="224">
      <c r="B224" s="47"/>
      <c r="H224" s="48"/>
    </row>
    <row r="225">
      <c r="B225" s="47"/>
      <c r="H225" s="48"/>
    </row>
    <row r="226">
      <c r="B226" s="47"/>
      <c r="H226" s="48"/>
    </row>
    <row r="227">
      <c r="B227" s="47"/>
      <c r="H227" s="48"/>
    </row>
    <row r="228">
      <c r="B228" s="47"/>
      <c r="H228" s="48"/>
    </row>
    <row r="229">
      <c r="B229" s="47"/>
      <c r="H229" s="48"/>
    </row>
    <row r="230">
      <c r="B230" s="47"/>
      <c r="H230" s="48"/>
    </row>
    <row r="231">
      <c r="B231" s="47"/>
      <c r="H231" s="48"/>
    </row>
    <row r="232">
      <c r="B232" s="47"/>
      <c r="H232" s="48"/>
    </row>
    <row r="233">
      <c r="B233" s="47"/>
      <c r="H233" s="48"/>
    </row>
    <row r="234">
      <c r="B234" s="47"/>
      <c r="H234" s="48"/>
    </row>
    <row r="235">
      <c r="B235" s="47"/>
      <c r="H235" s="48"/>
    </row>
    <row r="236">
      <c r="B236" s="47"/>
      <c r="H236" s="48"/>
    </row>
    <row r="237">
      <c r="B237" s="47"/>
      <c r="H237" s="48"/>
    </row>
    <row r="238">
      <c r="B238" s="47"/>
      <c r="H238" s="48"/>
    </row>
    <row r="239">
      <c r="B239" s="47"/>
      <c r="H239" s="48"/>
    </row>
    <row r="240">
      <c r="B240" s="47"/>
      <c r="H240" s="48"/>
    </row>
    <row r="241">
      <c r="B241" s="47"/>
      <c r="H241" s="48"/>
    </row>
    <row r="242">
      <c r="B242" s="47"/>
      <c r="H242" s="48"/>
    </row>
    <row r="243">
      <c r="B243" s="47"/>
      <c r="H243" s="48"/>
    </row>
    <row r="244">
      <c r="B244" s="47"/>
      <c r="H244" s="48"/>
    </row>
    <row r="245">
      <c r="B245" s="47"/>
      <c r="H245" s="48"/>
    </row>
    <row r="246">
      <c r="B246" s="47"/>
      <c r="H246" s="48"/>
    </row>
    <row r="247">
      <c r="B247" s="47"/>
      <c r="H247" s="48"/>
    </row>
    <row r="248">
      <c r="B248" s="47"/>
      <c r="H248" s="48"/>
    </row>
    <row r="249">
      <c r="B249" s="47"/>
      <c r="H249" s="48"/>
    </row>
    <row r="250">
      <c r="B250" s="47"/>
      <c r="H250" s="48"/>
    </row>
    <row r="251">
      <c r="B251" s="47"/>
      <c r="H251" s="48"/>
    </row>
    <row r="252">
      <c r="B252" s="47"/>
      <c r="H252" s="48"/>
    </row>
    <row r="253">
      <c r="B253" s="47"/>
      <c r="H253" s="48"/>
    </row>
    <row r="254">
      <c r="B254" s="47"/>
      <c r="H254" s="48"/>
    </row>
    <row r="255">
      <c r="B255" s="47"/>
      <c r="H255" s="48"/>
    </row>
    <row r="256">
      <c r="B256" s="47"/>
      <c r="H256" s="48"/>
    </row>
    <row r="257">
      <c r="B257" s="47"/>
      <c r="H257" s="48"/>
    </row>
    <row r="258">
      <c r="B258" s="47"/>
      <c r="H258" s="48"/>
    </row>
    <row r="259">
      <c r="B259" s="47"/>
      <c r="H259" s="48"/>
    </row>
    <row r="260">
      <c r="B260" s="47"/>
      <c r="H260" s="48"/>
    </row>
    <row r="261">
      <c r="B261" s="47"/>
      <c r="H261" s="48"/>
    </row>
    <row r="262">
      <c r="B262" s="47"/>
      <c r="H262" s="48"/>
    </row>
    <row r="263">
      <c r="B263" s="47"/>
      <c r="H263" s="48"/>
    </row>
    <row r="264">
      <c r="B264" s="47"/>
      <c r="H264" s="48"/>
    </row>
    <row r="265">
      <c r="B265" s="47"/>
      <c r="H265" s="48"/>
    </row>
    <row r="266">
      <c r="B266" s="47"/>
      <c r="H266" s="48"/>
    </row>
    <row r="267">
      <c r="B267" s="47"/>
      <c r="H267" s="48"/>
    </row>
    <row r="268">
      <c r="B268" s="47"/>
      <c r="H268" s="48"/>
    </row>
    <row r="269">
      <c r="B269" s="47"/>
      <c r="H269" s="48"/>
    </row>
    <row r="270">
      <c r="B270" s="47"/>
      <c r="H270" s="48"/>
    </row>
    <row r="271">
      <c r="B271" s="47"/>
      <c r="H271" s="48"/>
    </row>
    <row r="272">
      <c r="B272" s="47"/>
      <c r="H272" s="48"/>
    </row>
    <row r="273">
      <c r="B273" s="47"/>
      <c r="H273" s="48"/>
    </row>
    <row r="274">
      <c r="B274" s="47"/>
      <c r="H274" s="48"/>
    </row>
    <row r="275">
      <c r="B275" s="47"/>
      <c r="H275" s="48"/>
    </row>
    <row r="276">
      <c r="B276" s="47"/>
      <c r="H276" s="48"/>
    </row>
    <row r="277">
      <c r="B277" s="47"/>
      <c r="H277" s="48"/>
    </row>
    <row r="278">
      <c r="B278" s="47"/>
      <c r="H278" s="48"/>
    </row>
    <row r="279">
      <c r="B279" s="47"/>
      <c r="H279" s="48"/>
    </row>
    <row r="280">
      <c r="B280" s="47"/>
      <c r="H280" s="48"/>
    </row>
    <row r="281">
      <c r="B281" s="47"/>
      <c r="H281" s="48"/>
    </row>
    <row r="282">
      <c r="B282" s="47"/>
      <c r="H282" s="48"/>
    </row>
    <row r="283">
      <c r="B283" s="47"/>
      <c r="H283" s="48"/>
    </row>
    <row r="284">
      <c r="B284" s="47"/>
      <c r="H284" s="48"/>
    </row>
    <row r="285">
      <c r="B285" s="47"/>
      <c r="H285" s="48"/>
    </row>
    <row r="286">
      <c r="B286" s="47"/>
      <c r="H286" s="48"/>
    </row>
    <row r="287">
      <c r="B287" s="47"/>
      <c r="H287" s="48"/>
    </row>
    <row r="288">
      <c r="B288" s="47"/>
      <c r="H288" s="48"/>
    </row>
    <row r="289">
      <c r="B289" s="47"/>
      <c r="H289" s="48"/>
    </row>
    <row r="290">
      <c r="B290" s="47"/>
      <c r="H290" s="48"/>
    </row>
    <row r="291">
      <c r="B291" s="47"/>
      <c r="H291" s="48"/>
    </row>
    <row r="292">
      <c r="B292" s="47"/>
      <c r="H292" s="48"/>
    </row>
    <row r="293">
      <c r="B293" s="47"/>
      <c r="H293" s="48"/>
    </row>
    <row r="294">
      <c r="B294" s="47"/>
      <c r="H294" s="48"/>
    </row>
    <row r="295">
      <c r="B295" s="47"/>
      <c r="H295" s="48"/>
    </row>
    <row r="296">
      <c r="B296" s="47"/>
      <c r="H296" s="48"/>
    </row>
    <row r="297">
      <c r="B297" s="47"/>
      <c r="H297" s="48"/>
    </row>
    <row r="298">
      <c r="B298" s="47"/>
      <c r="H298" s="48"/>
    </row>
    <row r="299">
      <c r="B299" s="47"/>
      <c r="H299" s="48"/>
    </row>
    <row r="300">
      <c r="B300" s="47"/>
      <c r="H300" s="48"/>
    </row>
    <row r="301">
      <c r="B301" s="47"/>
      <c r="H301" s="48"/>
    </row>
    <row r="302">
      <c r="B302" s="47"/>
      <c r="H302" s="48"/>
    </row>
    <row r="303">
      <c r="B303" s="47"/>
      <c r="H303" s="48"/>
    </row>
    <row r="304">
      <c r="B304" s="47"/>
      <c r="H304" s="48"/>
    </row>
    <row r="305">
      <c r="B305" s="47"/>
      <c r="H305" s="48"/>
    </row>
    <row r="306">
      <c r="B306" s="47"/>
      <c r="H306" s="48"/>
    </row>
    <row r="307">
      <c r="B307" s="47"/>
      <c r="H307" s="48"/>
    </row>
    <row r="308">
      <c r="B308" s="47"/>
      <c r="H308" s="48"/>
    </row>
    <row r="309">
      <c r="B309" s="47"/>
      <c r="H309" s="48"/>
    </row>
    <row r="310">
      <c r="B310" s="47"/>
      <c r="H310" s="48"/>
    </row>
    <row r="311">
      <c r="B311" s="47"/>
      <c r="H311" s="48"/>
    </row>
    <row r="312">
      <c r="B312" s="47"/>
      <c r="H312" s="48"/>
    </row>
    <row r="313">
      <c r="B313" s="47"/>
      <c r="H313" s="48"/>
    </row>
    <row r="314">
      <c r="B314" s="47"/>
      <c r="H314" s="48"/>
    </row>
    <row r="315">
      <c r="B315" s="47"/>
      <c r="H315" s="48"/>
    </row>
    <row r="316">
      <c r="B316" s="47"/>
      <c r="H316" s="48"/>
    </row>
    <row r="317">
      <c r="B317" s="47"/>
      <c r="H317" s="48"/>
    </row>
    <row r="318">
      <c r="B318" s="47"/>
      <c r="H318" s="48"/>
    </row>
    <row r="319">
      <c r="B319" s="47"/>
      <c r="H319" s="48"/>
    </row>
    <row r="320">
      <c r="B320" s="47"/>
      <c r="H320" s="48"/>
    </row>
    <row r="321">
      <c r="B321" s="47"/>
      <c r="H321" s="48"/>
    </row>
    <row r="322">
      <c r="B322" s="47"/>
      <c r="H322" s="48"/>
    </row>
    <row r="323">
      <c r="B323" s="47"/>
      <c r="H323" s="48"/>
    </row>
    <row r="324">
      <c r="B324" s="47"/>
      <c r="H324" s="48"/>
    </row>
    <row r="325">
      <c r="B325" s="47"/>
      <c r="H325" s="48"/>
    </row>
    <row r="326">
      <c r="B326" s="47"/>
      <c r="H326" s="48"/>
    </row>
    <row r="327">
      <c r="B327" s="47"/>
      <c r="H327" s="48"/>
    </row>
    <row r="328">
      <c r="B328" s="47"/>
      <c r="H328" s="48"/>
    </row>
    <row r="329">
      <c r="B329" s="47"/>
      <c r="H329" s="48"/>
    </row>
    <row r="330">
      <c r="B330" s="47"/>
      <c r="H330" s="48"/>
    </row>
    <row r="331">
      <c r="B331" s="47"/>
      <c r="H331" s="48"/>
    </row>
    <row r="332">
      <c r="B332" s="47"/>
      <c r="H332" s="48"/>
    </row>
    <row r="333">
      <c r="B333" s="47"/>
      <c r="H333" s="48"/>
    </row>
    <row r="334">
      <c r="B334" s="47"/>
      <c r="H334" s="48"/>
    </row>
    <row r="335">
      <c r="B335" s="47"/>
      <c r="H335" s="48"/>
    </row>
    <row r="336">
      <c r="B336" s="47"/>
      <c r="H336" s="48"/>
    </row>
    <row r="337">
      <c r="B337" s="47"/>
      <c r="H337" s="48"/>
    </row>
    <row r="338">
      <c r="B338" s="47"/>
      <c r="H338" s="48"/>
    </row>
    <row r="339">
      <c r="B339" s="47"/>
      <c r="H339" s="48"/>
    </row>
    <row r="340">
      <c r="B340" s="47"/>
      <c r="H340" s="48"/>
    </row>
    <row r="341">
      <c r="B341" s="47"/>
      <c r="H341" s="48"/>
    </row>
    <row r="342">
      <c r="B342" s="47"/>
      <c r="H342" s="48"/>
    </row>
    <row r="343">
      <c r="B343" s="47"/>
      <c r="H343" s="48"/>
    </row>
    <row r="344">
      <c r="B344" s="47"/>
      <c r="H344" s="48"/>
    </row>
    <row r="345">
      <c r="B345" s="47"/>
      <c r="H345" s="48"/>
    </row>
    <row r="346">
      <c r="B346" s="47"/>
      <c r="H346" s="48"/>
    </row>
    <row r="347">
      <c r="B347" s="47"/>
      <c r="H347" s="48"/>
    </row>
    <row r="348">
      <c r="B348" s="47"/>
      <c r="H348" s="48"/>
    </row>
    <row r="349">
      <c r="B349" s="47"/>
      <c r="H349" s="48"/>
    </row>
    <row r="350">
      <c r="B350" s="47"/>
      <c r="H350" s="48"/>
    </row>
    <row r="351">
      <c r="B351" s="47"/>
      <c r="H351" s="48"/>
    </row>
    <row r="352">
      <c r="B352" s="47"/>
      <c r="H352" s="48"/>
    </row>
    <row r="353">
      <c r="B353" s="47"/>
      <c r="H353" s="48"/>
    </row>
    <row r="354">
      <c r="B354" s="47"/>
      <c r="H354" s="48"/>
    </row>
    <row r="355">
      <c r="B355" s="47"/>
      <c r="H355" s="48"/>
    </row>
    <row r="356">
      <c r="B356" s="47"/>
      <c r="H356" s="48"/>
    </row>
    <row r="357">
      <c r="B357" s="47"/>
      <c r="H357" s="48"/>
    </row>
    <row r="358">
      <c r="B358" s="47"/>
      <c r="H358" s="48"/>
    </row>
    <row r="359">
      <c r="B359" s="47"/>
      <c r="H359" s="48"/>
    </row>
    <row r="360">
      <c r="B360" s="47"/>
      <c r="H360" s="48"/>
    </row>
    <row r="361">
      <c r="B361" s="47"/>
      <c r="H361" s="48"/>
    </row>
    <row r="362">
      <c r="B362" s="47"/>
      <c r="H362" s="48"/>
    </row>
    <row r="363">
      <c r="B363" s="47"/>
      <c r="H363" s="48"/>
    </row>
    <row r="364">
      <c r="B364" s="47"/>
      <c r="H364" s="48"/>
    </row>
    <row r="365">
      <c r="B365" s="47"/>
      <c r="H365" s="48"/>
    </row>
    <row r="366">
      <c r="B366" s="47"/>
      <c r="H366" s="48"/>
    </row>
    <row r="367">
      <c r="B367" s="47"/>
      <c r="H367" s="48"/>
    </row>
    <row r="368">
      <c r="B368" s="47"/>
      <c r="H368" s="48"/>
    </row>
    <row r="369">
      <c r="B369" s="47"/>
      <c r="H369" s="48"/>
    </row>
    <row r="370">
      <c r="B370" s="47"/>
      <c r="H370" s="48"/>
    </row>
    <row r="371">
      <c r="B371" s="47"/>
      <c r="H371" s="48"/>
    </row>
    <row r="372">
      <c r="B372" s="47"/>
      <c r="H372" s="48"/>
    </row>
    <row r="373">
      <c r="B373" s="47"/>
      <c r="H373" s="48"/>
    </row>
    <row r="374">
      <c r="B374" s="47"/>
      <c r="H374" s="48"/>
    </row>
    <row r="375">
      <c r="B375" s="47"/>
      <c r="H375" s="48"/>
    </row>
    <row r="376">
      <c r="B376" s="47"/>
      <c r="H376" s="48"/>
    </row>
    <row r="377">
      <c r="B377" s="47"/>
      <c r="H377" s="48"/>
    </row>
    <row r="378">
      <c r="B378" s="47"/>
      <c r="H378" s="48"/>
    </row>
    <row r="379">
      <c r="B379" s="47"/>
      <c r="H379" s="48"/>
    </row>
    <row r="380">
      <c r="B380" s="47"/>
      <c r="H380" s="48"/>
    </row>
    <row r="381">
      <c r="B381" s="47"/>
      <c r="H381" s="48"/>
    </row>
    <row r="382">
      <c r="B382" s="47"/>
      <c r="H382" s="48"/>
    </row>
    <row r="383">
      <c r="B383" s="47"/>
      <c r="H383" s="48"/>
    </row>
    <row r="384">
      <c r="B384" s="47"/>
      <c r="H384" s="48"/>
    </row>
    <row r="385">
      <c r="B385" s="47"/>
      <c r="H385" s="48"/>
    </row>
    <row r="386">
      <c r="B386" s="47"/>
      <c r="H386" s="48"/>
    </row>
    <row r="387">
      <c r="B387" s="47"/>
      <c r="H387" s="48"/>
    </row>
    <row r="388">
      <c r="B388" s="47"/>
      <c r="H388" s="48"/>
    </row>
    <row r="389">
      <c r="B389" s="47"/>
      <c r="H389" s="48"/>
    </row>
    <row r="390">
      <c r="B390" s="47"/>
      <c r="H390" s="48"/>
    </row>
    <row r="391">
      <c r="B391" s="47"/>
      <c r="H391" s="48"/>
    </row>
    <row r="392">
      <c r="B392" s="47"/>
      <c r="H392" s="48"/>
    </row>
    <row r="393">
      <c r="B393" s="47"/>
      <c r="H393" s="48"/>
    </row>
    <row r="394">
      <c r="B394" s="47"/>
      <c r="H394" s="48"/>
    </row>
    <row r="395">
      <c r="B395" s="47"/>
      <c r="H395" s="48"/>
    </row>
    <row r="396">
      <c r="B396" s="47"/>
      <c r="H396" s="48"/>
    </row>
    <row r="397">
      <c r="B397" s="47"/>
      <c r="H397" s="48"/>
    </row>
    <row r="398">
      <c r="B398" s="47"/>
      <c r="H398" s="48"/>
    </row>
    <row r="399">
      <c r="B399" s="47"/>
      <c r="H399" s="48"/>
    </row>
    <row r="400">
      <c r="B400" s="47"/>
      <c r="H400" s="48"/>
    </row>
    <row r="401">
      <c r="B401" s="47"/>
      <c r="H401" s="48"/>
    </row>
    <row r="402">
      <c r="B402" s="47"/>
      <c r="H402" s="48"/>
    </row>
    <row r="403">
      <c r="B403" s="47"/>
      <c r="H403" s="48"/>
    </row>
    <row r="404">
      <c r="B404" s="47"/>
      <c r="H404" s="48"/>
    </row>
    <row r="405">
      <c r="B405" s="47"/>
      <c r="H405" s="48"/>
    </row>
    <row r="406">
      <c r="B406" s="47"/>
      <c r="H406" s="48"/>
    </row>
    <row r="407">
      <c r="B407" s="47"/>
      <c r="H407" s="48"/>
    </row>
    <row r="408">
      <c r="B408" s="47"/>
      <c r="H408" s="48"/>
    </row>
    <row r="409">
      <c r="B409" s="47"/>
      <c r="H409" s="48"/>
    </row>
    <row r="410">
      <c r="B410" s="47"/>
      <c r="H410" s="48"/>
    </row>
    <row r="411">
      <c r="B411" s="47"/>
      <c r="H411" s="48"/>
    </row>
    <row r="412">
      <c r="B412" s="47"/>
      <c r="H412" s="48"/>
    </row>
    <row r="413">
      <c r="B413" s="47"/>
      <c r="H413" s="48"/>
    </row>
    <row r="414">
      <c r="B414" s="47"/>
      <c r="H414" s="48"/>
    </row>
    <row r="415">
      <c r="B415" s="47"/>
      <c r="H415" s="48"/>
    </row>
    <row r="416">
      <c r="B416" s="47"/>
      <c r="H416" s="48"/>
    </row>
    <row r="417">
      <c r="B417" s="47"/>
      <c r="H417" s="48"/>
    </row>
    <row r="418">
      <c r="B418" s="47"/>
      <c r="H418" s="48"/>
    </row>
    <row r="419">
      <c r="B419" s="47"/>
      <c r="H419" s="48"/>
    </row>
    <row r="420">
      <c r="B420" s="47"/>
      <c r="H420" s="48"/>
    </row>
    <row r="421">
      <c r="B421" s="47"/>
      <c r="H421" s="48"/>
    </row>
    <row r="422">
      <c r="B422" s="47"/>
      <c r="H422" s="48"/>
    </row>
    <row r="423">
      <c r="B423" s="47"/>
      <c r="H423" s="48"/>
    </row>
    <row r="424">
      <c r="B424" s="47"/>
      <c r="H424" s="48"/>
    </row>
    <row r="425">
      <c r="B425" s="47"/>
      <c r="H425" s="48"/>
    </row>
    <row r="426">
      <c r="B426" s="47"/>
      <c r="H426" s="48"/>
    </row>
    <row r="427">
      <c r="B427" s="47"/>
      <c r="H427" s="48"/>
    </row>
    <row r="428">
      <c r="B428" s="47"/>
      <c r="H428" s="48"/>
    </row>
    <row r="429">
      <c r="B429" s="47"/>
      <c r="H429" s="48"/>
    </row>
    <row r="430">
      <c r="B430" s="47"/>
      <c r="H430" s="48"/>
    </row>
    <row r="431">
      <c r="B431" s="47"/>
      <c r="H431" s="48"/>
    </row>
    <row r="432">
      <c r="B432" s="47"/>
      <c r="H432" s="48"/>
    </row>
    <row r="433">
      <c r="B433" s="47"/>
      <c r="H433" s="48"/>
    </row>
    <row r="434">
      <c r="B434" s="47"/>
      <c r="H434" s="48"/>
    </row>
    <row r="435">
      <c r="B435" s="47"/>
      <c r="H435" s="48"/>
    </row>
    <row r="436">
      <c r="B436" s="47"/>
      <c r="H436" s="48"/>
    </row>
    <row r="437">
      <c r="B437" s="47"/>
      <c r="H437" s="48"/>
    </row>
    <row r="438">
      <c r="B438" s="47"/>
      <c r="H438" s="48"/>
    </row>
    <row r="439">
      <c r="B439" s="47"/>
      <c r="H439" s="48"/>
    </row>
    <row r="440">
      <c r="B440" s="47"/>
      <c r="H440" s="48"/>
    </row>
    <row r="441">
      <c r="B441" s="47"/>
      <c r="H441" s="48"/>
    </row>
    <row r="442">
      <c r="B442" s="47"/>
      <c r="H442" s="48"/>
    </row>
    <row r="443">
      <c r="B443" s="47"/>
      <c r="H443" s="48"/>
    </row>
    <row r="444">
      <c r="B444" s="47"/>
      <c r="H444" s="48"/>
    </row>
    <row r="445">
      <c r="B445" s="47"/>
      <c r="H445" s="48"/>
    </row>
    <row r="446">
      <c r="B446" s="47"/>
      <c r="H446" s="48"/>
    </row>
    <row r="447">
      <c r="B447" s="47"/>
      <c r="H447" s="48"/>
    </row>
    <row r="448">
      <c r="B448" s="47"/>
      <c r="H448" s="48"/>
    </row>
    <row r="449">
      <c r="B449" s="47"/>
      <c r="H449" s="48"/>
    </row>
    <row r="450">
      <c r="B450" s="47"/>
      <c r="H450" s="48"/>
    </row>
    <row r="451">
      <c r="B451" s="47"/>
      <c r="H451" s="48"/>
    </row>
    <row r="452">
      <c r="B452" s="47"/>
      <c r="H452" s="48"/>
    </row>
    <row r="453">
      <c r="B453" s="47"/>
      <c r="H453" s="48"/>
    </row>
    <row r="454">
      <c r="B454" s="47"/>
      <c r="H454" s="48"/>
    </row>
    <row r="455">
      <c r="B455" s="47"/>
      <c r="H455" s="48"/>
    </row>
    <row r="456">
      <c r="B456" s="47"/>
      <c r="H456" s="48"/>
    </row>
    <row r="457">
      <c r="B457" s="47"/>
      <c r="H457" s="48"/>
    </row>
    <row r="458">
      <c r="B458" s="47"/>
      <c r="H458" s="48"/>
    </row>
    <row r="459">
      <c r="B459" s="47"/>
      <c r="H459" s="48"/>
    </row>
    <row r="460">
      <c r="B460" s="47"/>
      <c r="H460" s="48"/>
    </row>
    <row r="461">
      <c r="B461" s="47"/>
      <c r="H461" s="48"/>
    </row>
    <row r="462">
      <c r="B462" s="47"/>
      <c r="H462" s="48"/>
    </row>
    <row r="463">
      <c r="B463" s="47"/>
      <c r="H463" s="48"/>
    </row>
    <row r="464">
      <c r="B464" s="47"/>
      <c r="H464" s="48"/>
    </row>
    <row r="465">
      <c r="B465" s="47"/>
      <c r="H465" s="48"/>
    </row>
    <row r="466">
      <c r="B466" s="47"/>
      <c r="H466" s="48"/>
    </row>
    <row r="467">
      <c r="B467" s="47"/>
      <c r="H467" s="48"/>
    </row>
    <row r="468">
      <c r="B468" s="47"/>
      <c r="H468" s="48"/>
    </row>
    <row r="469">
      <c r="B469" s="47"/>
      <c r="H469" s="48"/>
    </row>
    <row r="470">
      <c r="B470" s="47"/>
      <c r="H470" s="48"/>
    </row>
    <row r="471">
      <c r="B471" s="47"/>
      <c r="H471" s="48"/>
    </row>
    <row r="472">
      <c r="B472" s="47"/>
      <c r="H472" s="48"/>
    </row>
    <row r="473">
      <c r="B473" s="47"/>
      <c r="H473" s="48"/>
    </row>
    <row r="474">
      <c r="B474" s="47"/>
      <c r="H474" s="48"/>
    </row>
    <row r="475">
      <c r="B475" s="47"/>
      <c r="H475" s="48"/>
    </row>
    <row r="476">
      <c r="B476" s="47"/>
      <c r="H476" s="48"/>
    </row>
    <row r="477">
      <c r="B477" s="47"/>
      <c r="H477" s="48"/>
    </row>
    <row r="478">
      <c r="B478" s="47"/>
      <c r="H478" s="48"/>
    </row>
    <row r="479">
      <c r="B479" s="47"/>
      <c r="H479" s="48"/>
    </row>
    <row r="480">
      <c r="B480" s="47"/>
      <c r="H480" s="48"/>
    </row>
    <row r="481">
      <c r="B481" s="47"/>
      <c r="H481" s="48"/>
    </row>
    <row r="482">
      <c r="B482" s="47"/>
      <c r="H482" s="48"/>
    </row>
    <row r="483">
      <c r="B483" s="47"/>
      <c r="H483" s="48"/>
    </row>
    <row r="484">
      <c r="B484" s="47"/>
      <c r="H484" s="48"/>
    </row>
    <row r="485">
      <c r="B485" s="47"/>
      <c r="H485" s="48"/>
    </row>
    <row r="486">
      <c r="B486" s="47"/>
      <c r="H486" s="48"/>
    </row>
    <row r="487">
      <c r="B487" s="47"/>
      <c r="H487" s="48"/>
    </row>
    <row r="488">
      <c r="B488" s="47"/>
      <c r="H488" s="48"/>
    </row>
    <row r="489">
      <c r="B489" s="47"/>
      <c r="H489" s="48"/>
    </row>
    <row r="490">
      <c r="B490" s="47"/>
      <c r="H490" s="48"/>
    </row>
    <row r="491">
      <c r="B491" s="47"/>
      <c r="H491" s="48"/>
    </row>
    <row r="492">
      <c r="B492" s="47"/>
      <c r="H492" s="48"/>
    </row>
    <row r="493">
      <c r="B493" s="47"/>
      <c r="H493" s="48"/>
    </row>
    <row r="494">
      <c r="B494" s="47"/>
      <c r="H494" s="48"/>
    </row>
    <row r="495">
      <c r="B495" s="47"/>
      <c r="H495" s="48"/>
    </row>
    <row r="496">
      <c r="B496" s="47"/>
      <c r="H496" s="48"/>
    </row>
    <row r="497">
      <c r="B497" s="47"/>
      <c r="H497" s="48"/>
    </row>
    <row r="498">
      <c r="B498" s="47"/>
      <c r="H498" s="48"/>
    </row>
    <row r="499">
      <c r="B499" s="47"/>
      <c r="H499" s="48"/>
    </row>
    <row r="500">
      <c r="B500" s="47"/>
      <c r="H500" s="48"/>
    </row>
    <row r="501">
      <c r="B501" s="47"/>
      <c r="H501" s="48"/>
    </row>
    <row r="502">
      <c r="B502" s="47"/>
      <c r="H502" s="48"/>
    </row>
    <row r="503">
      <c r="B503" s="47"/>
      <c r="H503" s="48"/>
    </row>
    <row r="504">
      <c r="B504" s="47"/>
      <c r="H504" s="48"/>
    </row>
    <row r="505">
      <c r="B505" s="47"/>
      <c r="H505" s="48"/>
    </row>
    <row r="506">
      <c r="B506" s="47"/>
      <c r="H506" s="48"/>
    </row>
    <row r="507">
      <c r="B507" s="47"/>
      <c r="H507" s="48"/>
    </row>
    <row r="508">
      <c r="B508" s="47"/>
      <c r="H508" s="48"/>
    </row>
    <row r="509">
      <c r="B509" s="47"/>
      <c r="H509" s="48"/>
    </row>
    <row r="510">
      <c r="B510" s="47"/>
      <c r="H510" s="48"/>
    </row>
    <row r="511">
      <c r="B511" s="47"/>
      <c r="H511" s="48"/>
    </row>
    <row r="512">
      <c r="B512" s="47"/>
      <c r="H512" s="48"/>
    </row>
    <row r="513">
      <c r="B513" s="47"/>
      <c r="H513" s="48"/>
    </row>
    <row r="514">
      <c r="B514" s="47"/>
      <c r="H514" s="48"/>
    </row>
    <row r="515">
      <c r="B515" s="47"/>
      <c r="H515" s="48"/>
    </row>
    <row r="516">
      <c r="B516" s="47"/>
      <c r="H516" s="48"/>
    </row>
    <row r="517">
      <c r="B517" s="47"/>
      <c r="H517" s="48"/>
    </row>
    <row r="518">
      <c r="B518" s="47"/>
      <c r="H518" s="48"/>
    </row>
    <row r="519">
      <c r="B519" s="47"/>
      <c r="H519" s="48"/>
    </row>
    <row r="520">
      <c r="B520" s="47"/>
      <c r="H520" s="48"/>
    </row>
    <row r="521">
      <c r="B521" s="47"/>
      <c r="H521" s="48"/>
    </row>
    <row r="522">
      <c r="B522" s="47"/>
      <c r="H522" s="48"/>
    </row>
    <row r="523">
      <c r="B523" s="47"/>
      <c r="H523" s="48"/>
    </row>
    <row r="524">
      <c r="B524" s="47"/>
      <c r="H524" s="48"/>
    </row>
    <row r="525">
      <c r="B525" s="47"/>
      <c r="H525" s="48"/>
    </row>
    <row r="526">
      <c r="B526" s="47"/>
      <c r="H526" s="48"/>
    </row>
    <row r="527">
      <c r="B527" s="47"/>
      <c r="H527" s="48"/>
    </row>
    <row r="528">
      <c r="B528" s="47"/>
      <c r="H528" s="48"/>
    </row>
    <row r="529">
      <c r="B529" s="47"/>
      <c r="H529" s="48"/>
    </row>
    <row r="530">
      <c r="B530" s="47"/>
      <c r="H530" s="48"/>
    </row>
    <row r="531">
      <c r="B531" s="47"/>
      <c r="H531" s="48"/>
    </row>
    <row r="532">
      <c r="B532" s="47"/>
      <c r="H532" s="48"/>
    </row>
    <row r="533">
      <c r="B533" s="47"/>
      <c r="H533" s="48"/>
    </row>
    <row r="534">
      <c r="B534" s="47"/>
      <c r="H534" s="48"/>
    </row>
    <row r="535">
      <c r="B535" s="47"/>
      <c r="H535" s="48"/>
    </row>
    <row r="536">
      <c r="B536" s="47"/>
      <c r="H536" s="48"/>
    </row>
    <row r="537">
      <c r="B537" s="47"/>
      <c r="H537" s="48"/>
    </row>
    <row r="538">
      <c r="B538" s="47"/>
      <c r="H538" s="48"/>
    </row>
    <row r="539">
      <c r="B539" s="47"/>
      <c r="H539" s="48"/>
    </row>
    <row r="540">
      <c r="B540" s="47"/>
      <c r="H540" s="48"/>
    </row>
    <row r="541">
      <c r="B541" s="47"/>
      <c r="H541" s="48"/>
    </row>
    <row r="542">
      <c r="B542" s="47"/>
      <c r="H542" s="48"/>
    </row>
    <row r="543">
      <c r="B543" s="47"/>
      <c r="H543" s="48"/>
    </row>
    <row r="544">
      <c r="B544" s="47"/>
      <c r="H544" s="48"/>
    </row>
    <row r="545">
      <c r="B545" s="47"/>
      <c r="H545" s="48"/>
    </row>
    <row r="546">
      <c r="B546" s="47"/>
      <c r="H546" s="48"/>
    </row>
    <row r="547">
      <c r="B547" s="47"/>
      <c r="H547" s="48"/>
    </row>
    <row r="548">
      <c r="B548" s="47"/>
      <c r="H548" s="48"/>
    </row>
    <row r="549">
      <c r="B549" s="47"/>
      <c r="H549" s="48"/>
    </row>
    <row r="550">
      <c r="B550" s="47"/>
      <c r="H550" s="48"/>
    </row>
    <row r="551">
      <c r="B551" s="47"/>
      <c r="H551" s="48"/>
    </row>
    <row r="552">
      <c r="B552" s="47"/>
      <c r="H552" s="48"/>
    </row>
    <row r="553">
      <c r="B553" s="47"/>
      <c r="H553" s="48"/>
    </row>
    <row r="554">
      <c r="B554" s="47"/>
      <c r="H554" s="48"/>
    </row>
    <row r="555">
      <c r="B555" s="47"/>
      <c r="H555" s="48"/>
    </row>
    <row r="556">
      <c r="B556" s="47"/>
      <c r="H556" s="48"/>
    </row>
    <row r="557">
      <c r="B557" s="47"/>
      <c r="H557" s="48"/>
    </row>
    <row r="558">
      <c r="B558" s="47"/>
      <c r="H558" s="48"/>
    </row>
    <row r="559">
      <c r="B559" s="47"/>
      <c r="H559" s="48"/>
    </row>
    <row r="560">
      <c r="B560" s="47"/>
      <c r="H560" s="48"/>
    </row>
    <row r="561">
      <c r="B561" s="47"/>
      <c r="H561" s="48"/>
    </row>
    <row r="562">
      <c r="B562" s="47"/>
      <c r="H562" s="48"/>
    </row>
    <row r="563">
      <c r="B563" s="47"/>
      <c r="H563" s="48"/>
    </row>
    <row r="564">
      <c r="B564" s="47"/>
      <c r="H564" s="48"/>
    </row>
    <row r="565">
      <c r="B565" s="47"/>
      <c r="H565" s="48"/>
    </row>
    <row r="566">
      <c r="B566" s="47"/>
      <c r="H566" s="48"/>
    </row>
    <row r="567">
      <c r="B567" s="47"/>
      <c r="H567" s="48"/>
    </row>
    <row r="568">
      <c r="B568" s="47"/>
      <c r="H568" s="48"/>
    </row>
    <row r="569">
      <c r="B569" s="47"/>
      <c r="H569" s="48"/>
    </row>
    <row r="570">
      <c r="B570" s="47"/>
      <c r="H570" s="48"/>
    </row>
    <row r="571">
      <c r="B571" s="47"/>
      <c r="H571" s="48"/>
    </row>
    <row r="572">
      <c r="B572" s="47"/>
      <c r="H572" s="48"/>
    </row>
    <row r="573">
      <c r="B573" s="47"/>
      <c r="H573" s="48"/>
    </row>
    <row r="574">
      <c r="B574" s="47"/>
      <c r="H574" s="48"/>
    </row>
    <row r="575">
      <c r="B575" s="47"/>
      <c r="H575" s="48"/>
    </row>
    <row r="576">
      <c r="B576" s="47"/>
      <c r="H576" s="48"/>
    </row>
    <row r="577">
      <c r="B577" s="47"/>
      <c r="H577" s="48"/>
    </row>
    <row r="578">
      <c r="B578" s="47"/>
      <c r="H578" s="48"/>
    </row>
    <row r="579">
      <c r="B579" s="47"/>
      <c r="H579" s="48"/>
    </row>
    <row r="580">
      <c r="B580" s="47"/>
      <c r="H580" s="48"/>
    </row>
    <row r="581">
      <c r="B581" s="47"/>
      <c r="H581" s="48"/>
    </row>
    <row r="582">
      <c r="B582" s="47"/>
      <c r="H582" s="48"/>
    </row>
    <row r="583">
      <c r="B583" s="47"/>
      <c r="H583" s="48"/>
    </row>
    <row r="584">
      <c r="B584" s="47"/>
      <c r="H584" s="48"/>
    </row>
    <row r="585">
      <c r="B585" s="47"/>
      <c r="H585" s="48"/>
    </row>
    <row r="586">
      <c r="B586" s="47"/>
      <c r="H586" s="48"/>
    </row>
    <row r="587">
      <c r="B587" s="47"/>
      <c r="H587" s="48"/>
    </row>
    <row r="588">
      <c r="B588" s="47"/>
      <c r="H588" s="48"/>
    </row>
    <row r="589">
      <c r="B589" s="47"/>
      <c r="H589" s="48"/>
    </row>
    <row r="590">
      <c r="B590" s="47"/>
      <c r="H590" s="48"/>
    </row>
    <row r="591">
      <c r="B591" s="47"/>
      <c r="H591" s="48"/>
    </row>
    <row r="592">
      <c r="B592" s="47"/>
      <c r="H592" s="48"/>
    </row>
    <row r="593">
      <c r="B593" s="47"/>
      <c r="H593" s="48"/>
    </row>
    <row r="594">
      <c r="B594" s="47"/>
      <c r="H594" s="48"/>
    </row>
    <row r="595">
      <c r="B595" s="47"/>
      <c r="H595" s="48"/>
    </row>
    <row r="596">
      <c r="B596" s="47"/>
      <c r="H596" s="48"/>
    </row>
    <row r="597">
      <c r="B597" s="47"/>
      <c r="H597" s="48"/>
    </row>
    <row r="598">
      <c r="B598" s="47"/>
      <c r="H598" s="48"/>
    </row>
    <row r="599">
      <c r="B599" s="47"/>
      <c r="H599" s="48"/>
    </row>
    <row r="600">
      <c r="B600" s="47"/>
      <c r="H600" s="48"/>
    </row>
    <row r="601">
      <c r="B601" s="47"/>
      <c r="H601" s="48"/>
    </row>
    <row r="602">
      <c r="B602" s="47"/>
      <c r="H602" s="48"/>
    </row>
    <row r="603">
      <c r="B603" s="47"/>
      <c r="H603" s="48"/>
    </row>
    <row r="604">
      <c r="B604" s="47"/>
      <c r="H604" s="48"/>
    </row>
    <row r="605">
      <c r="B605" s="47"/>
      <c r="H605" s="48"/>
    </row>
    <row r="606">
      <c r="B606" s="47"/>
      <c r="H606" s="48"/>
    </row>
    <row r="607">
      <c r="B607" s="47"/>
      <c r="H607" s="48"/>
    </row>
    <row r="608">
      <c r="B608" s="47"/>
      <c r="H608" s="48"/>
    </row>
    <row r="609">
      <c r="B609" s="47"/>
      <c r="H609" s="48"/>
    </row>
    <row r="610">
      <c r="B610" s="47"/>
      <c r="H610" s="48"/>
    </row>
    <row r="611">
      <c r="B611" s="47"/>
      <c r="H611" s="48"/>
    </row>
    <row r="612">
      <c r="B612" s="47"/>
      <c r="H612" s="48"/>
    </row>
    <row r="613">
      <c r="B613" s="47"/>
      <c r="H613" s="48"/>
    </row>
    <row r="614">
      <c r="B614" s="47"/>
      <c r="H614" s="48"/>
    </row>
    <row r="615">
      <c r="B615" s="47"/>
      <c r="H615" s="48"/>
    </row>
    <row r="616">
      <c r="B616" s="47"/>
      <c r="H616" s="48"/>
    </row>
    <row r="617">
      <c r="B617" s="47"/>
      <c r="H617" s="48"/>
    </row>
    <row r="618">
      <c r="B618" s="47"/>
      <c r="H618" s="48"/>
    </row>
    <row r="619">
      <c r="B619" s="47"/>
      <c r="H619" s="48"/>
    </row>
    <row r="620">
      <c r="B620" s="47"/>
      <c r="H620" s="48"/>
    </row>
    <row r="621">
      <c r="B621" s="47"/>
      <c r="H621" s="48"/>
    </row>
    <row r="622">
      <c r="B622" s="47"/>
      <c r="H622" s="48"/>
    </row>
    <row r="623">
      <c r="B623" s="47"/>
      <c r="H623" s="48"/>
    </row>
    <row r="624">
      <c r="B624" s="47"/>
      <c r="H624" s="48"/>
    </row>
    <row r="625">
      <c r="B625" s="47"/>
      <c r="H625" s="48"/>
    </row>
    <row r="626">
      <c r="B626" s="47"/>
      <c r="H626" s="48"/>
    </row>
    <row r="627">
      <c r="B627" s="47"/>
      <c r="H627" s="48"/>
    </row>
    <row r="628">
      <c r="B628" s="47"/>
      <c r="H628" s="48"/>
    </row>
    <row r="629">
      <c r="B629" s="47"/>
      <c r="H629" s="48"/>
    </row>
    <row r="630">
      <c r="B630" s="47"/>
      <c r="H630" s="48"/>
    </row>
    <row r="631">
      <c r="B631" s="47"/>
      <c r="H631" s="48"/>
    </row>
    <row r="632">
      <c r="B632" s="47"/>
      <c r="H632" s="48"/>
    </row>
    <row r="633">
      <c r="B633" s="47"/>
      <c r="H633" s="48"/>
    </row>
    <row r="634">
      <c r="B634" s="47"/>
      <c r="H634" s="48"/>
    </row>
    <row r="635">
      <c r="B635" s="47"/>
      <c r="H635" s="48"/>
    </row>
    <row r="636">
      <c r="B636" s="47"/>
      <c r="H636" s="48"/>
    </row>
    <row r="637">
      <c r="B637" s="47"/>
      <c r="H637" s="48"/>
    </row>
    <row r="638">
      <c r="B638" s="47"/>
      <c r="H638" s="48"/>
    </row>
    <row r="639">
      <c r="B639" s="47"/>
      <c r="H639" s="48"/>
    </row>
    <row r="640">
      <c r="B640" s="47"/>
      <c r="H640" s="48"/>
    </row>
    <row r="641">
      <c r="B641" s="47"/>
      <c r="H641" s="48"/>
    </row>
    <row r="642">
      <c r="B642" s="47"/>
      <c r="H642" s="48"/>
    </row>
    <row r="643">
      <c r="B643" s="47"/>
      <c r="H643" s="48"/>
    </row>
    <row r="644">
      <c r="B644" s="47"/>
      <c r="H644" s="48"/>
    </row>
    <row r="645">
      <c r="B645" s="47"/>
      <c r="H645" s="48"/>
    </row>
    <row r="646">
      <c r="B646" s="47"/>
      <c r="H646" s="48"/>
    </row>
    <row r="647">
      <c r="B647" s="47"/>
      <c r="H647" s="48"/>
    </row>
    <row r="648">
      <c r="B648" s="47"/>
      <c r="H648" s="48"/>
    </row>
    <row r="649">
      <c r="B649" s="47"/>
      <c r="H649" s="48"/>
    </row>
    <row r="650">
      <c r="B650" s="47"/>
      <c r="H650" s="48"/>
    </row>
    <row r="651">
      <c r="B651" s="47"/>
      <c r="H651" s="48"/>
    </row>
    <row r="652">
      <c r="B652" s="47"/>
      <c r="H652" s="48"/>
    </row>
    <row r="653">
      <c r="B653" s="47"/>
      <c r="H653" s="48"/>
    </row>
    <row r="654">
      <c r="B654" s="47"/>
      <c r="H654" s="48"/>
    </row>
    <row r="655">
      <c r="B655" s="47"/>
      <c r="H655" s="48"/>
    </row>
    <row r="656">
      <c r="B656" s="47"/>
      <c r="H656" s="48"/>
    </row>
    <row r="657">
      <c r="B657" s="47"/>
      <c r="H657" s="48"/>
    </row>
    <row r="658">
      <c r="B658" s="47"/>
      <c r="H658" s="48"/>
    </row>
    <row r="659">
      <c r="B659" s="47"/>
      <c r="H659" s="48"/>
    </row>
    <row r="660">
      <c r="B660" s="47"/>
      <c r="H660" s="48"/>
    </row>
    <row r="661">
      <c r="B661" s="47"/>
      <c r="H661" s="48"/>
    </row>
    <row r="662">
      <c r="B662" s="47"/>
      <c r="H662" s="48"/>
    </row>
    <row r="663">
      <c r="B663" s="47"/>
      <c r="H663" s="48"/>
    </row>
    <row r="664">
      <c r="B664" s="47"/>
      <c r="H664" s="48"/>
    </row>
    <row r="665">
      <c r="B665" s="47"/>
      <c r="H665" s="48"/>
    </row>
    <row r="666">
      <c r="B666" s="47"/>
      <c r="H666" s="48"/>
    </row>
    <row r="667">
      <c r="B667" s="47"/>
      <c r="H667" s="48"/>
    </row>
    <row r="668">
      <c r="B668" s="47"/>
      <c r="H668" s="48"/>
    </row>
    <row r="669">
      <c r="B669" s="47"/>
      <c r="H669" s="48"/>
    </row>
    <row r="670">
      <c r="B670" s="47"/>
      <c r="H670" s="48"/>
    </row>
    <row r="671">
      <c r="B671" s="47"/>
      <c r="H671" s="48"/>
    </row>
    <row r="672">
      <c r="B672" s="47"/>
      <c r="H672" s="48"/>
    </row>
    <row r="673">
      <c r="B673" s="47"/>
      <c r="H673" s="48"/>
    </row>
    <row r="674">
      <c r="B674" s="47"/>
      <c r="H674" s="48"/>
    </row>
    <row r="675">
      <c r="B675" s="47"/>
      <c r="H675" s="48"/>
    </row>
    <row r="676">
      <c r="B676" s="47"/>
      <c r="H676" s="48"/>
    </row>
    <row r="677">
      <c r="B677" s="47"/>
      <c r="H677" s="48"/>
    </row>
    <row r="678">
      <c r="B678" s="47"/>
      <c r="H678" s="48"/>
    </row>
    <row r="679">
      <c r="B679" s="47"/>
      <c r="H679" s="48"/>
    </row>
    <row r="680">
      <c r="B680" s="47"/>
      <c r="H680" s="48"/>
    </row>
    <row r="681">
      <c r="B681" s="47"/>
      <c r="H681" s="48"/>
    </row>
    <row r="682">
      <c r="B682" s="47"/>
      <c r="H682" s="48"/>
    </row>
    <row r="683">
      <c r="B683" s="47"/>
      <c r="H683" s="48"/>
    </row>
    <row r="684">
      <c r="B684" s="47"/>
      <c r="H684" s="48"/>
    </row>
    <row r="685">
      <c r="B685" s="47"/>
      <c r="H685" s="48"/>
    </row>
    <row r="686">
      <c r="B686" s="47"/>
      <c r="H686" s="48"/>
    </row>
    <row r="687">
      <c r="B687" s="47"/>
      <c r="H687" s="48"/>
    </row>
    <row r="688">
      <c r="B688" s="47"/>
      <c r="H688" s="48"/>
    </row>
    <row r="689">
      <c r="B689" s="47"/>
      <c r="H689" s="48"/>
    </row>
    <row r="690">
      <c r="B690" s="47"/>
      <c r="H690" s="48"/>
    </row>
    <row r="691">
      <c r="B691" s="47"/>
      <c r="H691" s="48"/>
    </row>
    <row r="692">
      <c r="B692" s="47"/>
      <c r="H692" s="48"/>
    </row>
    <row r="693">
      <c r="B693" s="47"/>
      <c r="H693" s="48"/>
    </row>
    <row r="694">
      <c r="B694" s="47"/>
      <c r="H694" s="48"/>
    </row>
    <row r="695">
      <c r="B695" s="47"/>
      <c r="H695" s="48"/>
    </row>
    <row r="696">
      <c r="B696" s="47"/>
      <c r="H696" s="48"/>
    </row>
    <row r="697">
      <c r="B697" s="47"/>
      <c r="H697" s="48"/>
    </row>
    <row r="698">
      <c r="B698" s="47"/>
      <c r="H698" s="48"/>
    </row>
    <row r="699">
      <c r="B699" s="47"/>
      <c r="H699" s="48"/>
    </row>
    <row r="700">
      <c r="B700" s="47"/>
      <c r="H700" s="48"/>
    </row>
    <row r="701">
      <c r="B701" s="47"/>
      <c r="H701" s="48"/>
    </row>
    <row r="702">
      <c r="B702" s="47"/>
      <c r="H702" s="48"/>
    </row>
    <row r="703">
      <c r="B703" s="47"/>
      <c r="H703" s="48"/>
    </row>
    <row r="704">
      <c r="B704" s="47"/>
      <c r="H704" s="48"/>
    </row>
    <row r="705">
      <c r="B705" s="47"/>
      <c r="H705" s="48"/>
    </row>
    <row r="706">
      <c r="B706" s="47"/>
      <c r="H706" s="48"/>
    </row>
    <row r="707">
      <c r="B707" s="47"/>
      <c r="H707" s="48"/>
    </row>
    <row r="708">
      <c r="B708" s="47"/>
      <c r="H708" s="48"/>
    </row>
    <row r="709">
      <c r="B709" s="47"/>
      <c r="H709" s="48"/>
    </row>
    <row r="710">
      <c r="B710" s="47"/>
      <c r="H710" s="48"/>
    </row>
    <row r="711">
      <c r="B711" s="47"/>
      <c r="H711" s="48"/>
    </row>
    <row r="712">
      <c r="B712" s="47"/>
      <c r="H712" s="48"/>
    </row>
    <row r="713">
      <c r="B713" s="47"/>
      <c r="H713" s="48"/>
    </row>
    <row r="714">
      <c r="B714" s="47"/>
      <c r="H714" s="48"/>
    </row>
    <row r="715">
      <c r="B715" s="47"/>
      <c r="H715" s="48"/>
    </row>
    <row r="716">
      <c r="B716" s="47"/>
      <c r="H716" s="48"/>
    </row>
    <row r="717">
      <c r="B717" s="47"/>
      <c r="H717" s="48"/>
    </row>
    <row r="718">
      <c r="B718" s="47"/>
      <c r="H718" s="48"/>
    </row>
    <row r="719">
      <c r="B719" s="47"/>
      <c r="H719" s="48"/>
    </row>
    <row r="720">
      <c r="B720" s="47"/>
      <c r="H720" s="48"/>
    </row>
    <row r="721">
      <c r="B721" s="47"/>
      <c r="H721" s="48"/>
    </row>
    <row r="722">
      <c r="B722" s="47"/>
      <c r="H722" s="48"/>
    </row>
    <row r="723">
      <c r="B723" s="47"/>
      <c r="H723" s="48"/>
    </row>
    <row r="724">
      <c r="B724" s="47"/>
      <c r="H724" s="48"/>
    </row>
    <row r="725">
      <c r="B725" s="47"/>
      <c r="H725" s="48"/>
    </row>
    <row r="726">
      <c r="B726" s="47"/>
      <c r="H726" s="48"/>
    </row>
    <row r="727">
      <c r="B727" s="47"/>
      <c r="H727" s="48"/>
    </row>
    <row r="728">
      <c r="B728" s="47"/>
      <c r="H728" s="48"/>
    </row>
    <row r="729">
      <c r="B729" s="47"/>
      <c r="H729" s="48"/>
    </row>
    <row r="730">
      <c r="B730" s="47"/>
      <c r="H730" s="48"/>
    </row>
    <row r="731">
      <c r="B731" s="47"/>
      <c r="H731" s="48"/>
    </row>
    <row r="732">
      <c r="B732" s="47"/>
      <c r="H732" s="48"/>
    </row>
    <row r="733">
      <c r="B733" s="47"/>
      <c r="H733" s="48"/>
    </row>
    <row r="734">
      <c r="B734" s="47"/>
      <c r="H734" s="48"/>
    </row>
    <row r="735">
      <c r="B735" s="47"/>
      <c r="H735" s="48"/>
    </row>
    <row r="736">
      <c r="B736" s="47"/>
      <c r="H736" s="48"/>
    </row>
    <row r="737">
      <c r="B737" s="47"/>
      <c r="H737" s="48"/>
    </row>
    <row r="738">
      <c r="B738" s="47"/>
      <c r="H738" s="48"/>
    </row>
    <row r="739">
      <c r="B739" s="47"/>
      <c r="H739" s="48"/>
    </row>
    <row r="740">
      <c r="B740" s="47"/>
      <c r="H740" s="48"/>
    </row>
    <row r="741">
      <c r="B741" s="47"/>
      <c r="H741" s="48"/>
    </row>
    <row r="742">
      <c r="B742" s="47"/>
      <c r="H742" s="48"/>
    </row>
    <row r="743">
      <c r="B743" s="47"/>
      <c r="H743" s="48"/>
    </row>
    <row r="744">
      <c r="B744" s="47"/>
      <c r="H744" s="48"/>
    </row>
    <row r="745">
      <c r="B745" s="47"/>
      <c r="H745" s="48"/>
    </row>
    <row r="746">
      <c r="B746" s="47"/>
      <c r="H746" s="48"/>
    </row>
    <row r="747">
      <c r="B747" s="47"/>
      <c r="H747" s="48"/>
    </row>
    <row r="748">
      <c r="B748" s="47"/>
      <c r="H748" s="48"/>
    </row>
    <row r="749">
      <c r="B749" s="47"/>
      <c r="H749" s="48"/>
    </row>
    <row r="750">
      <c r="B750" s="47"/>
      <c r="H750" s="48"/>
    </row>
    <row r="751">
      <c r="B751" s="47"/>
      <c r="H751" s="48"/>
    </row>
    <row r="752">
      <c r="B752" s="47"/>
      <c r="H752" s="48"/>
    </row>
    <row r="753">
      <c r="B753" s="47"/>
      <c r="H753" s="48"/>
    </row>
    <row r="754">
      <c r="B754" s="47"/>
      <c r="H754" s="48"/>
    </row>
    <row r="755">
      <c r="B755" s="47"/>
      <c r="H755" s="48"/>
    </row>
    <row r="756">
      <c r="B756" s="47"/>
      <c r="H756" s="48"/>
    </row>
    <row r="757">
      <c r="B757" s="47"/>
      <c r="H757" s="48"/>
    </row>
    <row r="758">
      <c r="B758" s="47"/>
      <c r="H758" s="48"/>
    </row>
    <row r="759">
      <c r="B759" s="47"/>
      <c r="H759" s="48"/>
    </row>
    <row r="760">
      <c r="B760" s="47"/>
      <c r="H760" s="48"/>
    </row>
    <row r="761">
      <c r="B761" s="47"/>
      <c r="H761" s="48"/>
    </row>
    <row r="762">
      <c r="B762" s="47"/>
      <c r="H762" s="48"/>
    </row>
    <row r="763">
      <c r="B763" s="47"/>
      <c r="H763" s="48"/>
    </row>
    <row r="764">
      <c r="B764" s="47"/>
      <c r="H764" s="48"/>
    </row>
    <row r="765">
      <c r="B765" s="47"/>
      <c r="H765" s="48"/>
    </row>
    <row r="766">
      <c r="B766" s="47"/>
      <c r="H766" s="48"/>
    </row>
    <row r="767">
      <c r="B767" s="47"/>
      <c r="H767" s="48"/>
    </row>
    <row r="768">
      <c r="B768" s="47"/>
      <c r="H768" s="48"/>
    </row>
    <row r="769">
      <c r="B769" s="47"/>
      <c r="H769" s="48"/>
    </row>
    <row r="770">
      <c r="B770" s="47"/>
      <c r="H770" s="48"/>
    </row>
    <row r="771">
      <c r="B771" s="47"/>
      <c r="H771" s="48"/>
    </row>
    <row r="772">
      <c r="B772" s="47"/>
      <c r="H772" s="48"/>
    </row>
    <row r="773">
      <c r="B773" s="47"/>
      <c r="H773" s="48"/>
    </row>
    <row r="774">
      <c r="B774" s="47"/>
      <c r="H774" s="48"/>
    </row>
    <row r="775">
      <c r="B775" s="47"/>
      <c r="H775" s="48"/>
    </row>
    <row r="776">
      <c r="B776" s="47"/>
      <c r="H776" s="48"/>
    </row>
    <row r="777">
      <c r="B777" s="47"/>
      <c r="H777" s="48"/>
    </row>
    <row r="778">
      <c r="B778" s="47"/>
      <c r="H778" s="48"/>
    </row>
    <row r="779">
      <c r="B779" s="47"/>
      <c r="H779" s="48"/>
    </row>
    <row r="780">
      <c r="B780" s="47"/>
      <c r="H780" s="48"/>
    </row>
    <row r="781">
      <c r="B781" s="47"/>
      <c r="H781" s="48"/>
    </row>
    <row r="782">
      <c r="B782" s="47"/>
      <c r="H782" s="48"/>
    </row>
    <row r="783">
      <c r="B783" s="47"/>
      <c r="H783" s="48"/>
    </row>
    <row r="784">
      <c r="B784" s="47"/>
      <c r="H784" s="48"/>
    </row>
    <row r="785">
      <c r="B785" s="47"/>
      <c r="H785" s="48"/>
    </row>
    <row r="786">
      <c r="B786" s="47"/>
      <c r="H786" s="48"/>
    </row>
    <row r="787">
      <c r="B787" s="47"/>
      <c r="H787" s="48"/>
    </row>
    <row r="788">
      <c r="B788" s="47"/>
      <c r="H788" s="48"/>
    </row>
    <row r="789">
      <c r="B789" s="47"/>
      <c r="H789" s="48"/>
    </row>
    <row r="790">
      <c r="B790" s="47"/>
      <c r="H790" s="48"/>
    </row>
    <row r="791">
      <c r="B791" s="47"/>
      <c r="H791" s="48"/>
    </row>
    <row r="792">
      <c r="B792" s="47"/>
      <c r="H792" s="48"/>
    </row>
    <row r="793">
      <c r="B793" s="47"/>
      <c r="H793" s="48"/>
    </row>
    <row r="794">
      <c r="B794" s="47"/>
      <c r="H794" s="48"/>
    </row>
    <row r="795">
      <c r="B795" s="47"/>
      <c r="H795" s="48"/>
    </row>
    <row r="796">
      <c r="B796" s="47"/>
      <c r="H796" s="48"/>
    </row>
    <row r="797">
      <c r="B797" s="47"/>
      <c r="H797" s="48"/>
    </row>
    <row r="798">
      <c r="B798" s="47"/>
      <c r="H798" s="48"/>
    </row>
    <row r="799">
      <c r="B799" s="47"/>
      <c r="H799" s="48"/>
    </row>
    <row r="800">
      <c r="B800" s="47"/>
      <c r="H800" s="48"/>
    </row>
    <row r="801">
      <c r="B801" s="47"/>
      <c r="H801" s="48"/>
    </row>
    <row r="802">
      <c r="B802" s="47"/>
      <c r="H802" s="48"/>
    </row>
    <row r="803">
      <c r="B803" s="47"/>
      <c r="H803" s="48"/>
    </row>
    <row r="804">
      <c r="B804" s="47"/>
      <c r="H804" s="48"/>
    </row>
    <row r="805">
      <c r="B805" s="47"/>
      <c r="H805" s="48"/>
    </row>
    <row r="806">
      <c r="B806" s="47"/>
      <c r="H806" s="48"/>
    </row>
    <row r="807">
      <c r="B807" s="47"/>
      <c r="H807" s="48"/>
    </row>
    <row r="808">
      <c r="B808" s="47"/>
      <c r="H808" s="48"/>
    </row>
    <row r="809">
      <c r="B809" s="47"/>
      <c r="H809" s="48"/>
    </row>
    <row r="810">
      <c r="B810" s="47"/>
      <c r="H810" s="48"/>
    </row>
    <row r="811">
      <c r="B811" s="47"/>
      <c r="H811" s="48"/>
    </row>
    <row r="812">
      <c r="B812" s="47"/>
      <c r="H812" s="48"/>
    </row>
    <row r="813">
      <c r="B813" s="47"/>
      <c r="H813" s="48"/>
    </row>
    <row r="814">
      <c r="B814" s="47"/>
      <c r="H814" s="48"/>
    </row>
    <row r="815">
      <c r="B815" s="47"/>
      <c r="H815" s="48"/>
    </row>
    <row r="816">
      <c r="B816" s="47"/>
      <c r="H816" s="48"/>
    </row>
    <row r="817">
      <c r="B817" s="47"/>
      <c r="H817" s="48"/>
    </row>
    <row r="818">
      <c r="B818" s="47"/>
      <c r="H818" s="48"/>
    </row>
    <row r="819">
      <c r="B819" s="47"/>
      <c r="H819" s="48"/>
    </row>
    <row r="820">
      <c r="B820" s="47"/>
      <c r="H820" s="48"/>
    </row>
    <row r="821">
      <c r="B821" s="47"/>
      <c r="H821" s="48"/>
    </row>
    <row r="822">
      <c r="B822" s="47"/>
      <c r="H822" s="48"/>
    </row>
    <row r="823">
      <c r="B823" s="47"/>
      <c r="H823" s="48"/>
    </row>
    <row r="824">
      <c r="B824" s="47"/>
      <c r="H824" s="48"/>
    </row>
    <row r="825">
      <c r="B825" s="47"/>
      <c r="H825" s="48"/>
    </row>
    <row r="826">
      <c r="B826" s="47"/>
      <c r="H826" s="48"/>
    </row>
    <row r="827">
      <c r="B827" s="47"/>
      <c r="H827" s="48"/>
    </row>
    <row r="828">
      <c r="B828" s="47"/>
      <c r="H828" s="48"/>
    </row>
    <row r="829">
      <c r="B829" s="47"/>
      <c r="H829" s="48"/>
    </row>
    <row r="830">
      <c r="B830" s="47"/>
      <c r="H830" s="48"/>
    </row>
    <row r="831">
      <c r="B831" s="47"/>
      <c r="H831" s="48"/>
    </row>
    <row r="832">
      <c r="B832" s="47"/>
      <c r="H832" s="48"/>
    </row>
    <row r="833">
      <c r="B833" s="47"/>
      <c r="H833" s="48"/>
    </row>
    <row r="834">
      <c r="B834" s="47"/>
      <c r="H834" s="48"/>
    </row>
    <row r="835">
      <c r="B835" s="47"/>
      <c r="H835" s="48"/>
    </row>
    <row r="836">
      <c r="B836" s="47"/>
      <c r="H836" s="48"/>
    </row>
    <row r="837">
      <c r="B837" s="47"/>
      <c r="H837" s="48"/>
    </row>
    <row r="838">
      <c r="B838" s="47"/>
      <c r="H838" s="48"/>
    </row>
    <row r="839">
      <c r="B839" s="47"/>
      <c r="H839" s="48"/>
    </row>
    <row r="840">
      <c r="B840" s="47"/>
      <c r="H840" s="48"/>
    </row>
    <row r="841">
      <c r="B841" s="47"/>
      <c r="H841" s="48"/>
    </row>
    <row r="842">
      <c r="B842" s="47"/>
      <c r="H842" s="48"/>
    </row>
    <row r="843">
      <c r="B843" s="47"/>
      <c r="H843" s="48"/>
    </row>
    <row r="844">
      <c r="B844" s="47"/>
      <c r="H844" s="48"/>
    </row>
    <row r="845">
      <c r="B845" s="47"/>
      <c r="H845" s="48"/>
    </row>
    <row r="846">
      <c r="B846" s="47"/>
      <c r="H846" s="48"/>
    </row>
    <row r="847">
      <c r="B847" s="47"/>
      <c r="H847" s="48"/>
    </row>
    <row r="848">
      <c r="B848" s="47"/>
      <c r="H848" s="48"/>
    </row>
    <row r="849">
      <c r="B849" s="47"/>
      <c r="H849" s="48"/>
    </row>
    <row r="850">
      <c r="B850" s="47"/>
      <c r="H850" s="48"/>
    </row>
    <row r="851">
      <c r="B851" s="47"/>
      <c r="H851" s="48"/>
    </row>
    <row r="852">
      <c r="B852" s="47"/>
      <c r="H852" s="48"/>
    </row>
    <row r="853">
      <c r="B853" s="47"/>
      <c r="H853" s="48"/>
    </row>
    <row r="854">
      <c r="B854" s="47"/>
      <c r="H854" s="48"/>
    </row>
    <row r="855">
      <c r="B855" s="47"/>
      <c r="H855" s="48"/>
    </row>
    <row r="856">
      <c r="B856" s="47"/>
      <c r="H856" s="48"/>
    </row>
    <row r="857">
      <c r="B857" s="47"/>
      <c r="H857" s="48"/>
    </row>
    <row r="858">
      <c r="B858" s="47"/>
      <c r="H858" s="48"/>
    </row>
    <row r="859">
      <c r="B859" s="47"/>
      <c r="H859" s="48"/>
    </row>
    <row r="860">
      <c r="B860" s="47"/>
      <c r="H860" s="48"/>
    </row>
    <row r="861">
      <c r="B861" s="47"/>
      <c r="H861" s="48"/>
    </row>
    <row r="862">
      <c r="B862" s="47"/>
      <c r="H862" s="48"/>
    </row>
    <row r="863">
      <c r="B863" s="47"/>
      <c r="H863" s="48"/>
    </row>
    <row r="864">
      <c r="B864" s="47"/>
      <c r="H864" s="48"/>
    </row>
    <row r="865">
      <c r="B865" s="47"/>
      <c r="H865" s="48"/>
    </row>
    <row r="866">
      <c r="B866" s="47"/>
      <c r="H866" s="48"/>
    </row>
    <row r="867">
      <c r="B867" s="47"/>
      <c r="H867" s="48"/>
    </row>
    <row r="868">
      <c r="B868" s="47"/>
      <c r="H868" s="48"/>
    </row>
    <row r="869">
      <c r="B869" s="47"/>
      <c r="H869" s="48"/>
    </row>
    <row r="870">
      <c r="B870" s="47"/>
      <c r="H870" s="48"/>
    </row>
    <row r="871">
      <c r="B871" s="47"/>
      <c r="H871" s="48"/>
    </row>
    <row r="872">
      <c r="B872" s="47"/>
      <c r="H872" s="48"/>
    </row>
    <row r="873">
      <c r="B873" s="47"/>
      <c r="H873" s="48"/>
    </row>
    <row r="874">
      <c r="B874" s="47"/>
      <c r="H874" s="48"/>
    </row>
    <row r="875">
      <c r="B875" s="47"/>
      <c r="H875" s="48"/>
    </row>
    <row r="876">
      <c r="B876" s="47"/>
      <c r="H876" s="48"/>
    </row>
    <row r="877">
      <c r="B877" s="47"/>
      <c r="H877" s="48"/>
    </row>
    <row r="878">
      <c r="B878" s="47"/>
      <c r="H878" s="48"/>
    </row>
    <row r="879">
      <c r="B879" s="47"/>
      <c r="H879" s="48"/>
    </row>
    <row r="880">
      <c r="B880" s="47"/>
      <c r="H880" s="48"/>
    </row>
    <row r="881">
      <c r="B881" s="47"/>
      <c r="H881" s="48"/>
    </row>
    <row r="882">
      <c r="B882" s="47"/>
      <c r="H882" s="48"/>
    </row>
    <row r="883">
      <c r="B883" s="47"/>
      <c r="H883" s="48"/>
    </row>
    <row r="884">
      <c r="B884" s="47"/>
      <c r="H884" s="48"/>
    </row>
    <row r="885">
      <c r="B885" s="47"/>
      <c r="H885" s="48"/>
    </row>
    <row r="886">
      <c r="B886" s="47"/>
      <c r="H886" s="48"/>
    </row>
    <row r="887">
      <c r="B887" s="47"/>
      <c r="H887" s="48"/>
    </row>
    <row r="888">
      <c r="B888" s="47"/>
      <c r="H888" s="48"/>
    </row>
    <row r="889">
      <c r="B889" s="47"/>
      <c r="H889" s="48"/>
    </row>
    <row r="890">
      <c r="B890" s="47"/>
      <c r="H890" s="48"/>
    </row>
    <row r="891">
      <c r="B891" s="47"/>
      <c r="H891" s="48"/>
    </row>
    <row r="892">
      <c r="B892" s="47"/>
      <c r="H892" s="48"/>
    </row>
    <row r="893">
      <c r="B893" s="47"/>
      <c r="H893" s="48"/>
    </row>
    <row r="894">
      <c r="B894" s="47"/>
      <c r="H894" s="48"/>
    </row>
    <row r="895">
      <c r="B895" s="47"/>
      <c r="H895" s="48"/>
    </row>
    <row r="896">
      <c r="B896" s="47"/>
      <c r="H896" s="48"/>
    </row>
    <row r="897">
      <c r="B897" s="47"/>
      <c r="H897" s="48"/>
    </row>
    <row r="898">
      <c r="B898" s="47"/>
      <c r="H898" s="48"/>
    </row>
    <row r="899">
      <c r="B899" s="47"/>
      <c r="H899" s="48"/>
    </row>
    <row r="900">
      <c r="B900" s="47"/>
      <c r="H900" s="48"/>
    </row>
    <row r="901">
      <c r="B901" s="47"/>
      <c r="H901" s="48"/>
    </row>
    <row r="902">
      <c r="B902" s="47"/>
      <c r="H902" s="48"/>
    </row>
    <row r="903">
      <c r="B903" s="47"/>
      <c r="H903" s="48"/>
    </row>
    <row r="904">
      <c r="B904" s="47"/>
      <c r="H904" s="48"/>
    </row>
    <row r="905">
      <c r="B905" s="47"/>
      <c r="H905" s="48"/>
    </row>
    <row r="906">
      <c r="B906" s="47"/>
      <c r="H906" s="48"/>
    </row>
    <row r="907">
      <c r="B907" s="47"/>
      <c r="H907" s="48"/>
    </row>
    <row r="908">
      <c r="B908" s="47"/>
      <c r="H908" s="48"/>
    </row>
    <row r="909">
      <c r="B909" s="47"/>
      <c r="H909" s="48"/>
    </row>
    <row r="910">
      <c r="B910" s="47"/>
      <c r="H910" s="48"/>
    </row>
    <row r="911">
      <c r="B911" s="47"/>
      <c r="H911" s="48"/>
    </row>
    <row r="912">
      <c r="B912" s="47"/>
      <c r="H912" s="48"/>
    </row>
    <row r="913">
      <c r="B913" s="47"/>
      <c r="H913" s="48"/>
    </row>
    <row r="914">
      <c r="B914" s="47"/>
      <c r="H914" s="48"/>
    </row>
    <row r="915">
      <c r="B915" s="47"/>
      <c r="H915" s="48"/>
    </row>
    <row r="916">
      <c r="B916" s="47"/>
      <c r="H916" s="48"/>
    </row>
    <row r="917">
      <c r="B917" s="47"/>
      <c r="H917" s="48"/>
    </row>
    <row r="918">
      <c r="B918" s="47"/>
      <c r="H918" s="48"/>
    </row>
    <row r="919">
      <c r="B919" s="47"/>
      <c r="H919" s="48"/>
    </row>
    <row r="920">
      <c r="B920" s="47"/>
      <c r="H920" s="48"/>
    </row>
    <row r="921">
      <c r="B921" s="47"/>
      <c r="H921" s="48"/>
    </row>
    <row r="922">
      <c r="B922" s="47"/>
      <c r="H922" s="48"/>
    </row>
    <row r="923">
      <c r="B923" s="47"/>
      <c r="H923" s="48"/>
    </row>
    <row r="924">
      <c r="B924" s="47"/>
      <c r="H924" s="48"/>
    </row>
    <row r="925">
      <c r="B925" s="47"/>
      <c r="H925" s="48"/>
    </row>
    <row r="926">
      <c r="B926" s="47"/>
      <c r="H926" s="48"/>
    </row>
    <row r="927">
      <c r="B927" s="47"/>
      <c r="H927" s="48"/>
    </row>
    <row r="928">
      <c r="B928" s="47"/>
      <c r="H928" s="48"/>
    </row>
    <row r="929">
      <c r="B929" s="47"/>
      <c r="H929" s="48"/>
    </row>
    <row r="930">
      <c r="B930" s="47"/>
      <c r="H930" s="48"/>
    </row>
    <row r="931">
      <c r="B931" s="47"/>
      <c r="H931" s="48"/>
    </row>
    <row r="932">
      <c r="B932" s="47"/>
      <c r="H932" s="48"/>
    </row>
    <row r="933">
      <c r="B933" s="47"/>
      <c r="H933" s="48"/>
    </row>
    <row r="934">
      <c r="B934" s="47"/>
      <c r="H934" s="48"/>
    </row>
    <row r="935">
      <c r="B935" s="47"/>
      <c r="H935" s="48"/>
    </row>
    <row r="936">
      <c r="B936" s="47"/>
      <c r="H936" s="48"/>
    </row>
    <row r="937">
      <c r="B937" s="47"/>
      <c r="H937" s="48"/>
    </row>
    <row r="938">
      <c r="B938" s="47"/>
      <c r="H938" s="48"/>
    </row>
    <row r="939">
      <c r="B939" s="47"/>
      <c r="H939" s="48"/>
    </row>
    <row r="940">
      <c r="B940" s="47"/>
      <c r="H940" s="48"/>
    </row>
    <row r="941">
      <c r="B941" s="47"/>
      <c r="H941" s="48"/>
    </row>
    <row r="942">
      <c r="B942" s="47"/>
      <c r="H942" s="48"/>
    </row>
    <row r="943">
      <c r="B943" s="47"/>
      <c r="H943" s="48"/>
    </row>
    <row r="944">
      <c r="B944" s="47"/>
      <c r="H944" s="48"/>
    </row>
    <row r="945">
      <c r="B945" s="47"/>
      <c r="H945" s="48"/>
    </row>
    <row r="946">
      <c r="B946" s="47"/>
      <c r="H946" s="48"/>
    </row>
    <row r="947">
      <c r="B947" s="47"/>
      <c r="H947" s="48"/>
    </row>
    <row r="948">
      <c r="B948" s="47"/>
      <c r="H948" s="48"/>
    </row>
    <row r="949">
      <c r="B949" s="47"/>
      <c r="H949" s="48"/>
    </row>
    <row r="950">
      <c r="B950" s="47"/>
      <c r="H950" s="48"/>
    </row>
    <row r="951">
      <c r="B951" s="47"/>
      <c r="H951" s="48"/>
    </row>
    <row r="952">
      <c r="B952" s="47"/>
      <c r="H952" s="48"/>
    </row>
    <row r="953">
      <c r="B953" s="47"/>
      <c r="H953" s="48"/>
    </row>
    <row r="954">
      <c r="B954" s="47"/>
      <c r="H954" s="48"/>
    </row>
    <row r="955">
      <c r="B955" s="47"/>
      <c r="H955" s="48"/>
    </row>
    <row r="956">
      <c r="B956" s="47"/>
      <c r="H956" s="48"/>
    </row>
    <row r="957">
      <c r="B957" s="47"/>
      <c r="H957" s="48"/>
    </row>
    <row r="958">
      <c r="B958" s="47"/>
      <c r="H958" s="48"/>
    </row>
    <row r="959">
      <c r="B959" s="47"/>
      <c r="H959" s="48"/>
    </row>
    <row r="960">
      <c r="B960" s="47"/>
      <c r="H960" s="48"/>
    </row>
    <row r="961">
      <c r="B961" s="47"/>
      <c r="H961" s="48"/>
    </row>
    <row r="962">
      <c r="B962" s="47"/>
      <c r="H962" s="48"/>
    </row>
    <row r="963">
      <c r="B963" s="47"/>
      <c r="H963" s="48"/>
    </row>
    <row r="964">
      <c r="B964" s="47"/>
      <c r="H964" s="48"/>
    </row>
    <row r="965">
      <c r="B965" s="47"/>
      <c r="H965" s="48"/>
    </row>
    <row r="966">
      <c r="B966" s="47"/>
      <c r="H966" s="48"/>
    </row>
    <row r="967">
      <c r="B967" s="47"/>
      <c r="H967" s="48"/>
    </row>
    <row r="968">
      <c r="B968" s="47"/>
      <c r="H968" s="48"/>
    </row>
    <row r="969">
      <c r="B969" s="47"/>
      <c r="H969" s="48"/>
    </row>
    <row r="970">
      <c r="B970" s="47"/>
      <c r="H970" s="48"/>
    </row>
    <row r="971">
      <c r="B971" s="47"/>
      <c r="H971" s="48"/>
    </row>
    <row r="972">
      <c r="B972" s="47"/>
      <c r="H972" s="48"/>
    </row>
    <row r="973">
      <c r="B973" s="47"/>
      <c r="H973" s="48"/>
    </row>
    <row r="974">
      <c r="B974" s="47"/>
      <c r="H974" s="48"/>
    </row>
    <row r="975">
      <c r="B975" s="47"/>
      <c r="H975" s="48"/>
    </row>
    <row r="976">
      <c r="B976" s="47"/>
      <c r="H976" s="48"/>
    </row>
    <row r="977">
      <c r="B977" s="47"/>
      <c r="H977" s="48"/>
    </row>
    <row r="978">
      <c r="B978" s="47"/>
      <c r="H978" s="48"/>
    </row>
    <row r="979">
      <c r="B979" s="47"/>
      <c r="H979" s="48"/>
    </row>
    <row r="980">
      <c r="B980" s="47"/>
      <c r="H980" s="48"/>
    </row>
    <row r="981">
      <c r="B981" s="47"/>
      <c r="H981" s="48"/>
    </row>
    <row r="982">
      <c r="B982" s="47"/>
      <c r="H982" s="48"/>
    </row>
    <row r="983">
      <c r="B983" s="47"/>
      <c r="H983" s="48"/>
    </row>
    <row r="984">
      <c r="B984" s="47"/>
      <c r="H984" s="48"/>
    </row>
    <row r="985">
      <c r="B985" s="47"/>
      <c r="H985" s="48"/>
    </row>
    <row r="986">
      <c r="B986" s="47"/>
      <c r="H986" s="48"/>
    </row>
    <row r="987">
      <c r="B987" s="47"/>
      <c r="H987" s="48"/>
    </row>
    <row r="988">
      <c r="B988" s="47"/>
      <c r="H988" s="48"/>
    </row>
    <row r="989">
      <c r="B989" s="47"/>
      <c r="H989" s="48"/>
    </row>
    <row r="990">
      <c r="B990" s="47"/>
      <c r="H990" s="48"/>
    </row>
    <row r="991">
      <c r="B991" s="47"/>
      <c r="H991" s="48"/>
    </row>
    <row r="992">
      <c r="B992" s="47"/>
      <c r="H992" s="48"/>
    </row>
    <row r="993">
      <c r="B993" s="47"/>
      <c r="H993" s="48"/>
    </row>
    <row r="994">
      <c r="B994" s="47"/>
      <c r="H994" s="48"/>
    </row>
    <row r="995">
      <c r="B995" s="47"/>
      <c r="H995" s="48"/>
    </row>
    <row r="996">
      <c r="B996" s="47"/>
      <c r="H996" s="48"/>
    </row>
    <row r="997">
      <c r="B997" s="47"/>
      <c r="H997" s="48"/>
    </row>
    <row r="998">
      <c r="B998" s="47"/>
      <c r="H998" s="48"/>
    </row>
    <row r="999">
      <c r="B999" s="47"/>
      <c r="H999" s="48"/>
    </row>
  </sheetData>
  <autoFilter ref="$A$3:$H$60"/>
  <mergeCells count="1">
    <mergeCell ref="C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3.38"/>
    <col customWidth="1" min="3" max="3" width="74.0"/>
    <col customWidth="1" min="4" max="4" width="25.25"/>
    <col customWidth="1" min="5" max="5" width="49.0"/>
    <col customWidth="1" min="6" max="6" width="12.63"/>
    <col customWidth="1" min="7" max="7" width="16.13"/>
    <col customWidth="1" min="8" max="8" width="52.5"/>
  </cols>
  <sheetData>
    <row r="1">
      <c r="A1" s="1"/>
      <c r="B1" s="2"/>
      <c r="C1" s="3" t="s">
        <v>273</v>
      </c>
      <c r="G1" s="4"/>
      <c r="H1" s="49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/>
      <c r="B2" s="8"/>
      <c r="C2" s="9"/>
      <c r="D2" s="9"/>
      <c r="E2" s="9"/>
      <c r="F2" s="9"/>
      <c r="G2" s="9"/>
      <c r="H2" s="49"/>
    </row>
    <row r="3">
      <c r="A3" s="10"/>
      <c r="B3" s="11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3" t="s">
        <v>6</v>
      </c>
      <c r="H3" s="50" t="s">
        <v>7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16">
        <v>1.0</v>
      </c>
      <c r="B4" s="17" t="s">
        <v>274</v>
      </c>
      <c r="C4" s="18" t="s">
        <v>275</v>
      </c>
      <c r="D4" s="51" t="s">
        <v>276</v>
      </c>
      <c r="E4" s="20"/>
      <c r="F4" s="21">
        <v>898.0</v>
      </c>
      <c r="G4" s="22">
        <v>2.0</v>
      </c>
      <c r="H4" s="52" t="s">
        <v>277</v>
      </c>
    </row>
    <row r="5">
      <c r="A5" s="16">
        <v>2.0</v>
      </c>
      <c r="B5" s="17" t="s">
        <v>278</v>
      </c>
      <c r="C5" s="24" t="s">
        <v>279</v>
      </c>
      <c r="D5" s="33" t="s">
        <v>280</v>
      </c>
      <c r="E5" s="26"/>
      <c r="F5" s="27">
        <v>368.0</v>
      </c>
      <c r="G5" s="28">
        <v>1.0</v>
      </c>
      <c r="H5" s="53" t="s">
        <v>281</v>
      </c>
    </row>
    <row r="6">
      <c r="A6" s="16">
        <v>3.0</v>
      </c>
      <c r="B6" s="17" t="s">
        <v>282</v>
      </c>
      <c r="C6" s="30" t="s">
        <v>283</v>
      </c>
      <c r="D6" s="31" t="s">
        <v>284</v>
      </c>
      <c r="E6" s="32"/>
      <c r="F6" s="27">
        <v>796.0</v>
      </c>
      <c r="G6" s="28">
        <v>2.0</v>
      </c>
      <c r="H6" s="53" t="s">
        <v>285</v>
      </c>
    </row>
    <row r="7">
      <c r="A7" s="16">
        <v>4.0</v>
      </c>
      <c r="B7" s="17" t="s">
        <v>286</v>
      </c>
      <c r="C7" s="30" t="s">
        <v>287</v>
      </c>
      <c r="D7" s="31" t="s">
        <v>288</v>
      </c>
      <c r="E7" s="26"/>
      <c r="F7" s="27">
        <v>197.0</v>
      </c>
      <c r="G7" s="28">
        <v>1.0</v>
      </c>
      <c r="H7" s="53" t="s">
        <v>289</v>
      </c>
    </row>
    <row r="8">
      <c r="A8" s="16">
        <v>5.0</v>
      </c>
      <c r="B8" s="17" t="s">
        <v>290</v>
      </c>
      <c r="C8" s="24" t="s">
        <v>291</v>
      </c>
      <c r="D8" s="33" t="s">
        <v>292</v>
      </c>
      <c r="E8" s="32"/>
      <c r="F8" s="27">
        <v>3472.0</v>
      </c>
      <c r="G8" s="28">
        <v>6.0</v>
      </c>
      <c r="H8" s="53" t="s">
        <v>293</v>
      </c>
    </row>
    <row r="9">
      <c r="A9" s="16">
        <v>6.0</v>
      </c>
      <c r="B9" s="17" t="s">
        <v>294</v>
      </c>
      <c r="C9" s="24" t="s">
        <v>295</v>
      </c>
      <c r="D9" s="33" t="s">
        <v>296</v>
      </c>
      <c r="E9" s="32"/>
      <c r="F9" s="27">
        <v>1206.0</v>
      </c>
      <c r="G9" s="28">
        <v>2.0</v>
      </c>
      <c r="H9" s="54" t="s">
        <v>297</v>
      </c>
    </row>
    <row r="10">
      <c r="A10" s="16">
        <v>7.0</v>
      </c>
      <c r="B10" s="17" t="s">
        <v>298</v>
      </c>
      <c r="C10" s="24" t="s">
        <v>299</v>
      </c>
      <c r="D10" s="33" t="s">
        <v>300</v>
      </c>
      <c r="E10" s="32"/>
      <c r="F10" s="27">
        <v>3000.0</v>
      </c>
      <c r="G10" s="28">
        <v>5.0</v>
      </c>
      <c r="H10" s="53" t="s">
        <v>301</v>
      </c>
    </row>
    <row r="11">
      <c r="A11" s="16">
        <v>8.0</v>
      </c>
      <c r="B11" s="17" t="s">
        <v>302</v>
      </c>
      <c r="C11" s="24" t="s">
        <v>303</v>
      </c>
      <c r="D11" s="33" t="s">
        <v>304</v>
      </c>
      <c r="E11" s="32"/>
      <c r="F11" s="27">
        <v>1820.0</v>
      </c>
      <c r="G11" s="28">
        <v>3.0</v>
      </c>
      <c r="H11" s="53" t="s">
        <v>305</v>
      </c>
    </row>
    <row r="12">
      <c r="A12" s="16">
        <v>9.0</v>
      </c>
      <c r="B12" s="17" t="s">
        <v>306</v>
      </c>
      <c r="C12" s="24" t="s">
        <v>307</v>
      </c>
      <c r="D12" s="33" t="s">
        <v>308</v>
      </c>
      <c r="E12" s="32"/>
      <c r="F12" s="27">
        <v>1935.0</v>
      </c>
      <c r="G12" s="28">
        <v>4.0</v>
      </c>
      <c r="H12" s="53" t="s">
        <v>309</v>
      </c>
    </row>
    <row r="13">
      <c r="A13" s="16">
        <v>10.0</v>
      </c>
      <c r="B13" s="17" t="s">
        <v>310</v>
      </c>
      <c r="C13" s="24" t="s">
        <v>311</v>
      </c>
      <c r="D13" s="33" t="s">
        <v>292</v>
      </c>
      <c r="E13" s="32"/>
      <c r="F13" s="27">
        <v>1943.0</v>
      </c>
      <c r="G13" s="28">
        <v>4.0</v>
      </c>
      <c r="H13" s="53" t="s">
        <v>312</v>
      </c>
    </row>
    <row r="14">
      <c r="A14" s="16">
        <v>11.0</v>
      </c>
      <c r="B14" s="17" t="s">
        <v>313</v>
      </c>
      <c r="C14" s="24" t="s">
        <v>314</v>
      </c>
      <c r="D14" s="33" t="s">
        <v>315</v>
      </c>
      <c r="E14" s="32"/>
      <c r="F14" s="27">
        <v>1176.0</v>
      </c>
      <c r="G14" s="28">
        <v>2.0</v>
      </c>
      <c r="H14" s="53" t="s">
        <v>316</v>
      </c>
    </row>
    <row r="15">
      <c r="A15" s="16">
        <v>12.0</v>
      </c>
      <c r="B15" s="17" t="s">
        <v>317</v>
      </c>
      <c r="C15" s="24" t="s">
        <v>318</v>
      </c>
      <c r="D15" s="33" t="s">
        <v>319</v>
      </c>
      <c r="E15" s="32"/>
      <c r="F15" s="27">
        <v>1782.0</v>
      </c>
      <c r="G15" s="28">
        <v>3.0</v>
      </c>
      <c r="H15" s="53" t="s">
        <v>320</v>
      </c>
    </row>
    <row r="16">
      <c r="A16" s="16">
        <v>13.0</v>
      </c>
      <c r="B16" s="17" t="s">
        <v>321</v>
      </c>
      <c r="C16" s="24" t="s">
        <v>322</v>
      </c>
      <c r="D16" s="33" t="s">
        <v>323</v>
      </c>
      <c r="E16" s="32"/>
      <c r="F16" s="27">
        <v>523.0</v>
      </c>
      <c r="G16" s="28">
        <v>1.0</v>
      </c>
      <c r="H16" s="53" t="s">
        <v>324</v>
      </c>
    </row>
    <row r="17">
      <c r="A17" s="16">
        <v>14.0</v>
      </c>
      <c r="B17" s="17" t="s">
        <v>325</v>
      </c>
      <c r="C17" s="24" t="s">
        <v>326</v>
      </c>
      <c r="D17" s="33" t="s">
        <v>292</v>
      </c>
      <c r="E17" s="32"/>
      <c r="F17" s="27">
        <v>4319.0</v>
      </c>
      <c r="G17" s="28">
        <v>7.0</v>
      </c>
      <c r="H17" s="53" t="s">
        <v>327</v>
      </c>
    </row>
    <row r="18">
      <c r="A18" s="16">
        <v>15.0</v>
      </c>
      <c r="B18" s="17" t="s">
        <v>328</v>
      </c>
      <c r="C18" s="24" t="s">
        <v>329</v>
      </c>
      <c r="D18" s="33" t="s">
        <v>330</v>
      </c>
      <c r="E18" s="32"/>
      <c r="F18" s="27">
        <v>882.0</v>
      </c>
      <c r="G18" s="28">
        <v>2.0</v>
      </c>
      <c r="H18" s="53" t="s">
        <v>331</v>
      </c>
    </row>
    <row r="19">
      <c r="A19" s="16">
        <v>16.0</v>
      </c>
      <c r="B19" s="17" t="s">
        <v>332</v>
      </c>
      <c r="C19" s="24" t="s">
        <v>333</v>
      </c>
      <c r="D19" s="33" t="s">
        <v>334</v>
      </c>
      <c r="E19" s="32"/>
      <c r="F19" s="27">
        <v>5443.0</v>
      </c>
      <c r="G19" s="28">
        <v>9.0</v>
      </c>
      <c r="H19" s="54" t="s">
        <v>335</v>
      </c>
    </row>
    <row r="20">
      <c r="A20" s="16">
        <v>17.0</v>
      </c>
      <c r="B20" s="17" t="s">
        <v>336</v>
      </c>
      <c r="C20" s="24" t="s">
        <v>337</v>
      </c>
      <c r="D20" s="33" t="s">
        <v>338</v>
      </c>
      <c r="E20" s="32"/>
      <c r="F20" s="36">
        <v>343.0</v>
      </c>
      <c r="G20" s="37">
        <v>1.0</v>
      </c>
      <c r="H20" s="55" t="s">
        <v>339</v>
      </c>
    </row>
    <row r="21">
      <c r="A21" s="16">
        <v>18.0</v>
      </c>
      <c r="B21" s="17" t="s">
        <v>340</v>
      </c>
      <c r="C21" s="30" t="s">
        <v>341</v>
      </c>
      <c r="D21" s="31" t="s">
        <v>342</v>
      </c>
      <c r="E21" s="26"/>
      <c r="F21" s="36">
        <v>1440.0</v>
      </c>
      <c r="G21" s="56">
        <v>2.0</v>
      </c>
      <c r="H21" s="57" t="s">
        <v>343</v>
      </c>
    </row>
    <row r="22">
      <c r="A22" s="16">
        <v>19.0</v>
      </c>
      <c r="B22" s="17" t="s">
        <v>344</v>
      </c>
      <c r="C22" s="24" t="s">
        <v>345</v>
      </c>
      <c r="D22" s="33" t="s">
        <v>346</v>
      </c>
      <c r="E22" s="32"/>
      <c r="F22" s="27">
        <v>970.0</v>
      </c>
      <c r="G22" s="28">
        <v>2.0</v>
      </c>
      <c r="H22" s="53" t="s">
        <v>347</v>
      </c>
    </row>
    <row r="23">
      <c r="A23" s="46"/>
      <c r="B23" s="58"/>
      <c r="C23" s="46"/>
      <c r="D23" s="46"/>
      <c r="E23" s="46"/>
      <c r="F23" s="59">
        <f t="shared" ref="F23:G23" si="1">SUM(F4:F22)</f>
        <v>32513</v>
      </c>
      <c r="G23" s="60">
        <f t="shared" si="1"/>
        <v>59</v>
      </c>
      <c r="H23" s="61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>
      <c r="B24" s="47"/>
      <c r="H24" s="62"/>
    </row>
    <row r="25">
      <c r="B25" s="47"/>
      <c r="H25" s="62"/>
    </row>
    <row r="26">
      <c r="B26" s="47"/>
      <c r="H26" s="62"/>
    </row>
    <row r="27">
      <c r="B27" s="47"/>
      <c r="H27" s="62"/>
    </row>
    <row r="28">
      <c r="B28" s="47"/>
      <c r="H28" s="62"/>
    </row>
    <row r="29">
      <c r="B29" s="47"/>
      <c r="H29" s="62"/>
    </row>
    <row r="30">
      <c r="B30" s="47"/>
      <c r="H30" s="62"/>
    </row>
    <row r="31">
      <c r="B31" s="47"/>
      <c r="H31" s="62"/>
    </row>
    <row r="32">
      <c r="B32" s="47"/>
      <c r="H32" s="62"/>
    </row>
    <row r="33">
      <c r="B33" s="47"/>
      <c r="H33" s="62"/>
    </row>
    <row r="34">
      <c r="B34" s="47"/>
      <c r="H34" s="62"/>
    </row>
    <row r="35">
      <c r="B35" s="47"/>
      <c r="H35" s="62"/>
    </row>
    <row r="36">
      <c r="B36" s="47"/>
      <c r="H36" s="62"/>
    </row>
    <row r="37">
      <c r="B37" s="47"/>
      <c r="H37" s="62"/>
    </row>
    <row r="38">
      <c r="B38" s="47"/>
      <c r="H38" s="62"/>
    </row>
    <row r="39">
      <c r="B39" s="47"/>
      <c r="H39" s="62"/>
    </row>
    <row r="40">
      <c r="B40" s="47"/>
      <c r="H40" s="62"/>
    </row>
    <row r="41">
      <c r="B41" s="47"/>
      <c r="H41" s="62"/>
    </row>
    <row r="42">
      <c r="B42" s="47"/>
      <c r="H42" s="62"/>
    </row>
    <row r="43">
      <c r="B43" s="47"/>
      <c r="H43" s="62"/>
    </row>
    <row r="44">
      <c r="B44" s="47"/>
      <c r="H44" s="62"/>
    </row>
    <row r="45">
      <c r="B45" s="47"/>
      <c r="H45" s="62"/>
    </row>
    <row r="46">
      <c r="B46" s="47"/>
      <c r="H46" s="62"/>
    </row>
    <row r="47">
      <c r="B47" s="47"/>
      <c r="H47" s="62"/>
    </row>
    <row r="48">
      <c r="B48" s="47"/>
      <c r="H48" s="62"/>
    </row>
    <row r="49">
      <c r="B49" s="47"/>
      <c r="H49" s="62"/>
    </row>
    <row r="50">
      <c r="B50" s="47"/>
      <c r="H50" s="62"/>
    </row>
    <row r="51">
      <c r="B51" s="47"/>
      <c r="H51" s="62"/>
    </row>
    <row r="52">
      <c r="B52" s="47"/>
      <c r="H52" s="62"/>
    </row>
    <row r="53">
      <c r="B53" s="47"/>
      <c r="H53" s="62"/>
    </row>
    <row r="54">
      <c r="B54" s="47"/>
      <c r="H54" s="62"/>
    </row>
    <row r="55">
      <c r="B55" s="47"/>
      <c r="H55" s="62"/>
    </row>
    <row r="56">
      <c r="B56" s="47"/>
      <c r="H56" s="62"/>
    </row>
    <row r="57">
      <c r="B57" s="47"/>
      <c r="H57" s="62"/>
    </row>
    <row r="58">
      <c r="B58" s="47"/>
      <c r="H58" s="62"/>
    </row>
    <row r="59">
      <c r="B59" s="47"/>
      <c r="H59" s="62"/>
    </row>
    <row r="60">
      <c r="B60" s="47"/>
      <c r="H60" s="62"/>
    </row>
    <row r="61">
      <c r="B61" s="47"/>
      <c r="H61" s="62"/>
    </row>
    <row r="62">
      <c r="B62" s="47"/>
      <c r="H62" s="62"/>
    </row>
    <row r="63">
      <c r="B63" s="47"/>
      <c r="H63" s="62"/>
    </row>
    <row r="64">
      <c r="B64" s="47"/>
      <c r="H64" s="62"/>
    </row>
    <row r="65">
      <c r="B65" s="47"/>
      <c r="H65" s="62"/>
    </row>
    <row r="66">
      <c r="B66" s="47"/>
      <c r="H66" s="62"/>
    </row>
    <row r="67">
      <c r="B67" s="47"/>
      <c r="H67" s="62"/>
    </row>
    <row r="68">
      <c r="B68" s="47"/>
      <c r="H68" s="62"/>
    </row>
    <row r="69">
      <c r="B69" s="47"/>
      <c r="H69" s="62"/>
    </row>
    <row r="70">
      <c r="B70" s="47"/>
      <c r="H70" s="62"/>
    </row>
    <row r="71">
      <c r="B71" s="47"/>
      <c r="H71" s="62"/>
    </row>
    <row r="72">
      <c r="B72" s="47"/>
      <c r="H72" s="62"/>
    </row>
    <row r="73">
      <c r="B73" s="47"/>
      <c r="H73" s="62"/>
    </row>
    <row r="74">
      <c r="B74" s="47"/>
      <c r="H74" s="62"/>
    </row>
    <row r="75">
      <c r="B75" s="47"/>
      <c r="H75" s="62"/>
    </row>
    <row r="76">
      <c r="B76" s="47"/>
      <c r="H76" s="62"/>
    </row>
    <row r="77">
      <c r="B77" s="47"/>
      <c r="H77" s="62"/>
    </row>
    <row r="78">
      <c r="B78" s="47"/>
      <c r="H78" s="62"/>
    </row>
    <row r="79">
      <c r="B79" s="47"/>
      <c r="H79" s="62"/>
    </row>
    <row r="80">
      <c r="B80" s="47"/>
      <c r="H80" s="62"/>
    </row>
    <row r="81">
      <c r="B81" s="47"/>
      <c r="H81" s="62"/>
    </row>
    <row r="82">
      <c r="B82" s="47"/>
      <c r="H82" s="62"/>
    </row>
    <row r="83">
      <c r="B83" s="47"/>
      <c r="H83" s="62"/>
    </row>
    <row r="84">
      <c r="B84" s="47"/>
      <c r="H84" s="62"/>
    </row>
    <row r="85">
      <c r="B85" s="47"/>
      <c r="H85" s="62"/>
    </row>
    <row r="86">
      <c r="B86" s="47"/>
      <c r="H86" s="62"/>
    </row>
    <row r="87">
      <c r="B87" s="47"/>
      <c r="H87" s="62"/>
    </row>
    <row r="88">
      <c r="B88" s="47"/>
      <c r="H88" s="62"/>
    </row>
    <row r="89">
      <c r="B89" s="47"/>
      <c r="H89" s="62"/>
    </row>
    <row r="90">
      <c r="B90" s="47"/>
      <c r="H90" s="62"/>
    </row>
    <row r="91">
      <c r="B91" s="47"/>
      <c r="H91" s="62"/>
    </row>
    <row r="92">
      <c r="B92" s="47"/>
      <c r="H92" s="62"/>
    </row>
    <row r="93">
      <c r="B93" s="47"/>
      <c r="H93" s="62"/>
    </row>
    <row r="94">
      <c r="B94" s="47"/>
      <c r="H94" s="62"/>
    </row>
    <row r="95">
      <c r="B95" s="47"/>
      <c r="H95" s="62"/>
    </row>
    <row r="96">
      <c r="B96" s="47"/>
      <c r="H96" s="62"/>
    </row>
    <row r="97">
      <c r="B97" s="47"/>
      <c r="H97" s="62"/>
    </row>
    <row r="98">
      <c r="B98" s="47"/>
      <c r="H98" s="62"/>
    </row>
    <row r="99">
      <c r="B99" s="47"/>
      <c r="H99" s="62"/>
    </row>
    <row r="100">
      <c r="B100" s="47"/>
      <c r="H100" s="62"/>
    </row>
    <row r="101">
      <c r="B101" s="47"/>
      <c r="H101" s="62"/>
    </row>
    <row r="102">
      <c r="B102" s="47"/>
      <c r="H102" s="62"/>
    </row>
    <row r="103">
      <c r="B103" s="47"/>
      <c r="H103" s="62"/>
    </row>
    <row r="104">
      <c r="B104" s="47"/>
      <c r="H104" s="62"/>
    </row>
    <row r="105">
      <c r="B105" s="47"/>
      <c r="H105" s="62"/>
    </row>
    <row r="106">
      <c r="B106" s="47"/>
      <c r="H106" s="62"/>
    </row>
    <row r="107">
      <c r="B107" s="47"/>
      <c r="H107" s="62"/>
    </row>
    <row r="108">
      <c r="B108" s="47"/>
      <c r="H108" s="62"/>
    </row>
    <row r="109">
      <c r="B109" s="47"/>
      <c r="H109" s="62"/>
    </row>
    <row r="110">
      <c r="B110" s="47"/>
      <c r="H110" s="62"/>
    </row>
    <row r="111">
      <c r="B111" s="47"/>
      <c r="H111" s="62"/>
    </row>
    <row r="112">
      <c r="B112" s="47"/>
      <c r="H112" s="62"/>
    </row>
    <row r="113">
      <c r="B113" s="47"/>
      <c r="H113" s="62"/>
    </row>
    <row r="114">
      <c r="B114" s="47"/>
      <c r="H114" s="62"/>
    </row>
    <row r="115">
      <c r="B115" s="47"/>
      <c r="H115" s="62"/>
    </row>
    <row r="116">
      <c r="B116" s="47"/>
      <c r="H116" s="62"/>
    </row>
    <row r="117">
      <c r="B117" s="47"/>
      <c r="H117" s="62"/>
    </row>
    <row r="118">
      <c r="B118" s="47"/>
      <c r="H118" s="62"/>
    </row>
    <row r="119">
      <c r="B119" s="47"/>
      <c r="H119" s="62"/>
    </row>
    <row r="120">
      <c r="B120" s="47"/>
      <c r="H120" s="62"/>
    </row>
    <row r="121">
      <c r="B121" s="47"/>
      <c r="H121" s="62"/>
    </row>
    <row r="122">
      <c r="B122" s="47"/>
      <c r="H122" s="62"/>
    </row>
    <row r="123">
      <c r="B123" s="47"/>
      <c r="H123" s="62"/>
    </row>
    <row r="124">
      <c r="B124" s="47"/>
      <c r="H124" s="62"/>
    </row>
    <row r="125">
      <c r="B125" s="47"/>
      <c r="H125" s="62"/>
    </row>
    <row r="126">
      <c r="B126" s="47"/>
      <c r="H126" s="62"/>
    </row>
    <row r="127">
      <c r="B127" s="47"/>
      <c r="H127" s="62"/>
    </row>
    <row r="128">
      <c r="B128" s="47"/>
      <c r="H128" s="62"/>
    </row>
    <row r="129">
      <c r="B129" s="47"/>
      <c r="H129" s="62"/>
    </row>
    <row r="130">
      <c r="B130" s="47"/>
      <c r="H130" s="62"/>
    </row>
    <row r="131">
      <c r="B131" s="47"/>
      <c r="H131" s="62"/>
    </row>
    <row r="132">
      <c r="B132" s="47"/>
      <c r="H132" s="62"/>
    </row>
    <row r="133">
      <c r="B133" s="47"/>
      <c r="H133" s="62"/>
    </row>
    <row r="134">
      <c r="B134" s="47"/>
      <c r="H134" s="62"/>
    </row>
    <row r="135">
      <c r="B135" s="47"/>
      <c r="H135" s="62"/>
    </row>
    <row r="136">
      <c r="B136" s="47"/>
      <c r="H136" s="62"/>
    </row>
    <row r="137">
      <c r="B137" s="47"/>
      <c r="H137" s="62"/>
    </row>
    <row r="138">
      <c r="B138" s="47"/>
      <c r="H138" s="62"/>
    </row>
    <row r="139">
      <c r="B139" s="47"/>
      <c r="H139" s="62"/>
    </row>
    <row r="140">
      <c r="B140" s="47"/>
      <c r="H140" s="62"/>
    </row>
    <row r="141">
      <c r="B141" s="47"/>
      <c r="H141" s="62"/>
    </row>
    <row r="142">
      <c r="B142" s="47"/>
      <c r="H142" s="62"/>
    </row>
    <row r="143">
      <c r="B143" s="47"/>
      <c r="H143" s="62"/>
    </row>
    <row r="144">
      <c r="B144" s="47"/>
      <c r="H144" s="62"/>
    </row>
    <row r="145">
      <c r="B145" s="47"/>
      <c r="H145" s="62"/>
    </row>
    <row r="146">
      <c r="B146" s="47"/>
      <c r="H146" s="62"/>
    </row>
    <row r="147">
      <c r="B147" s="47"/>
      <c r="H147" s="62"/>
    </row>
    <row r="148">
      <c r="B148" s="47"/>
      <c r="H148" s="62"/>
    </row>
    <row r="149">
      <c r="B149" s="47"/>
      <c r="H149" s="62"/>
    </row>
    <row r="150">
      <c r="B150" s="47"/>
      <c r="H150" s="62"/>
    </row>
    <row r="151">
      <c r="B151" s="47"/>
      <c r="H151" s="62"/>
    </row>
    <row r="152">
      <c r="B152" s="47"/>
      <c r="H152" s="62"/>
    </row>
    <row r="153">
      <c r="B153" s="47"/>
      <c r="H153" s="62"/>
    </row>
    <row r="154">
      <c r="B154" s="47"/>
      <c r="H154" s="62"/>
    </row>
    <row r="155">
      <c r="B155" s="47"/>
      <c r="H155" s="62"/>
    </row>
    <row r="156">
      <c r="B156" s="47"/>
      <c r="H156" s="62"/>
    </row>
    <row r="157">
      <c r="B157" s="47"/>
      <c r="H157" s="62"/>
    </row>
    <row r="158">
      <c r="B158" s="47"/>
      <c r="H158" s="62"/>
    </row>
    <row r="159">
      <c r="B159" s="47"/>
      <c r="H159" s="62"/>
    </row>
    <row r="160">
      <c r="B160" s="47"/>
      <c r="H160" s="62"/>
    </row>
    <row r="161">
      <c r="B161" s="47"/>
      <c r="H161" s="62"/>
    </row>
    <row r="162">
      <c r="B162" s="47"/>
      <c r="H162" s="62"/>
    </row>
    <row r="163">
      <c r="B163" s="47"/>
      <c r="H163" s="62"/>
    </row>
    <row r="164">
      <c r="B164" s="47"/>
      <c r="H164" s="62"/>
    </row>
    <row r="165">
      <c r="B165" s="47"/>
      <c r="H165" s="62"/>
    </row>
    <row r="166">
      <c r="B166" s="47"/>
      <c r="H166" s="62"/>
    </row>
    <row r="167">
      <c r="B167" s="47"/>
      <c r="H167" s="62"/>
    </row>
    <row r="168">
      <c r="B168" s="47"/>
      <c r="H168" s="62"/>
    </row>
    <row r="169">
      <c r="B169" s="47"/>
      <c r="H169" s="62"/>
    </row>
    <row r="170">
      <c r="B170" s="47"/>
      <c r="H170" s="62"/>
    </row>
    <row r="171">
      <c r="B171" s="47"/>
      <c r="H171" s="62"/>
    </row>
    <row r="172">
      <c r="B172" s="47"/>
      <c r="H172" s="62"/>
    </row>
    <row r="173">
      <c r="B173" s="47"/>
      <c r="H173" s="62"/>
    </row>
    <row r="174">
      <c r="B174" s="47"/>
      <c r="H174" s="62"/>
    </row>
    <row r="175">
      <c r="B175" s="47"/>
      <c r="H175" s="62"/>
    </row>
    <row r="176">
      <c r="B176" s="47"/>
      <c r="H176" s="62"/>
    </row>
    <row r="177">
      <c r="B177" s="47"/>
      <c r="H177" s="62"/>
    </row>
    <row r="178">
      <c r="B178" s="47"/>
      <c r="H178" s="62"/>
    </row>
    <row r="179">
      <c r="B179" s="47"/>
      <c r="H179" s="62"/>
    </row>
    <row r="180">
      <c r="B180" s="47"/>
      <c r="H180" s="62"/>
    </row>
    <row r="181">
      <c r="B181" s="47"/>
      <c r="H181" s="62"/>
    </row>
    <row r="182">
      <c r="B182" s="47"/>
      <c r="H182" s="62"/>
    </row>
    <row r="183">
      <c r="B183" s="47"/>
      <c r="H183" s="62"/>
    </row>
    <row r="184">
      <c r="B184" s="47"/>
      <c r="H184" s="62"/>
    </row>
    <row r="185">
      <c r="B185" s="47"/>
      <c r="H185" s="62"/>
    </row>
    <row r="186">
      <c r="B186" s="47"/>
      <c r="H186" s="62"/>
    </row>
    <row r="187">
      <c r="B187" s="47"/>
      <c r="H187" s="62"/>
    </row>
    <row r="188">
      <c r="B188" s="47"/>
      <c r="H188" s="62"/>
    </row>
    <row r="189">
      <c r="B189" s="47"/>
      <c r="H189" s="62"/>
    </row>
    <row r="190">
      <c r="B190" s="47"/>
      <c r="H190" s="62"/>
    </row>
    <row r="191">
      <c r="B191" s="47"/>
      <c r="H191" s="62"/>
    </row>
    <row r="192">
      <c r="B192" s="47"/>
      <c r="H192" s="62"/>
    </row>
    <row r="193">
      <c r="B193" s="47"/>
      <c r="H193" s="62"/>
    </row>
    <row r="194">
      <c r="B194" s="47"/>
      <c r="H194" s="62"/>
    </row>
    <row r="195">
      <c r="B195" s="47"/>
      <c r="H195" s="62"/>
    </row>
    <row r="196">
      <c r="B196" s="47"/>
      <c r="H196" s="62"/>
    </row>
    <row r="197">
      <c r="B197" s="47"/>
      <c r="H197" s="62"/>
    </row>
    <row r="198">
      <c r="B198" s="47"/>
      <c r="H198" s="62"/>
    </row>
    <row r="199">
      <c r="B199" s="47"/>
      <c r="H199" s="62"/>
    </row>
    <row r="200">
      <c r="B200" s="47"/>
      <c r="H200" s="62"/>
    </row>
    <row r="201">
      <c r="B201" s="47"/>
      <c r="H201" s="62"/>
    </row>
    <row r="202">
      <c r="B202" s="47"/>
      <c r="H202" s="62"/>
    </row>
    <row r="203">
      <c r="B203" s="47"/>
      <c r="H203" s="62"/>
    </row>
    <row r="204">
      <c r="B204" s="47"/>
      <c r="H204" s="62"/>
    </row>
    <row r="205">
      <c r="B205" s="47"/>
      <c r="H205" s="62"/>
    </row>
    <row r="206">
      <c r="B206" s="47"/>
      <c r="H206" s="62"/>
    </row>
    <row r="207">
      <c r="B207" s="47"/>
      <c r="H207" s="62"/>
    </row>
    <row r="208">
      <c r="B208" s="47"/>
      <c r="H208" s="62"/>
    </row>
    <row r="209">
      <c r="B209" s="47"/>
      <c r="H209" s="62"/>
    </row>
    <row r="210">
      <c r="B210" s="47"/>
      <c r="H210" s="62"/>
    </row>
    <row r="211">
      <c r="B211" s="47"/>
      <c r="H211" s="62"/>
    </row>
    <row r="212">
      <c r="B212" s="47"/>
      <c r="H212" s="62"/>
    </row>
    <row r="213">
      <c r="B213" s="47"/>
      <c r="H213" s="62"/>
    </row>
    <row r="214">
      <c r="B214" s="47"/>
      <c r="H214" s="62"/>
    </row>
    <row r="215">
      <c r="B215" s="47"/>
      <c r="H215" s="62"/>
    </row>
    <row r="216">
      <c r="B216" s="47"/>
      <c r="H216" s="62"/>
    </row>
    <row r="217">
      <c r="B217" s="47"/>
      <c r="H217" s="62"/>
    </row>
    <row r="218">
      <c r="B218" s="47"/>
      <c r="H218" s="62"/>
    </row>
    <row r="219">
      <c r="B219" s="47"/>
      <c r="H219" s="62"/>
    </row>
    <row r="220">
      <c r="B220" s="47"/>
      <c r="H220" s="62"/>
    </row>
    <row r="221">
      <c r="B221" s="47"/>
      <c r="H221" s="62"/>
    </row>
    <row r="222">
      <c r="B222" s="47"/>
      <c r="H222" s="62"/>
    </row>
    <row r="223">
      <c r="B223" s="47"/>
      <c r="H223" s="62"/>
    </row>
    <row r="224">
      <c r="B224" s="47"/>
      <c r="H224" s="62"/>
    </row>
    <row r="225">
      <c r="B225" s="47"/>
      <c r="H225" s="62"/>
    </row>
    <row r="226">
      <c r="B226" s="47"/>
      <c r="H226" s="62"/>
    </row>
    <row r="227">
      <c r="B227" s="47"/>
      <c r="H227" s="62"/>
    </row>
    <row r="228">
      <c r="B228" s="47"/>
      <c r="H228" s="62"/>
    </row>
    <row r="229">
      <c r="B229" s="47"/>
      <c r="H229" s="62"/>
    </row>
    <row r="230">
      <c r="B230" s="47"/>
      <c r="H230" s="62"/>
    </row>
    <row r="231">
      <c r="B231" s="47"/>
      <c r="H231" s="62"/>
    </row>
    <row r="232">
      <c r="B232" s="47"/>
      <c r="H232" s="62"/>
    </row>
    <row r="233">
      <c r="B233" s="47"/>
      <c r="H233" s="62"/>
    </row>
    <row r="234">
      <c r="B234" s="47"/>
      <c r="H234" s="62"/>
    </row>
    <row r="235">
      <c r="B235" s="47"/>
      <c r="H235" s="62"/>
    </row>
    <row r="236">
      <c r="B236" s="47"/>
      <c r="H236" s="62"/>
    </row>
    <row r="237">
      <c r="B237" s="47"/>
      <c r="H237" s="62"/>
    </row>
    <row r="238">
      <c r="B238" s="47"/>
      <c r="H238" s="62"/>
    </row>
    <row r="239">
      <c r="B239" s="47"/>
      <c r="H239" s="62"/>
    </row>
    <row r="240">
      <c r="B240" s="47"/>
      <c r="H240" s="62"/>
    </row>
    <row r="241">
      <c r="B241" s="47"/>
      <c r="H241" s="62"/>
    </row>
    <row r="242">
      <c r="B242" s="47"/>
      <c r="H242" s="62"/>
    </row>
    <row r="243">
      <c r="B243" s="47"/>
      <c r="H243" s="62"/>
    </row>
    <row r="244">
      <c r="B244" s="47"/>
      <c r="H244" s="62"/>
    </row>
    <row r="245">
      <c r="B245" s="47"/>
      <c r="H245" s="62"/>
    </row>
    <row r="246">
      <c r="B246" s="47"/>
      <c r="H246" s="62"/>
    </row>
    <row r="247">
      <c r="B247" s="47"/>
      <c r="H247" s="62"/>
    </row>
    <row r="248">
      <c r="B248" s="47"/>
      <c r="H248" s="62"/>
    </row>
    <row r="249">
      <c r="B249" s="47"/>
      <c r="H249" s="62"/>
    </row>
    <row r="250">
      <c r="B250" s="47"/>
      <c r="H250" s="62"/>
    </row>
    <row r="251">
      <c r="B251" s="47"/>
      <c r="H251" s="62"/>
    </row>
    <row r="252">
      <c r="B252" s="47"/>
      <c r="H252" s="62"/>
    </row>
    <row r="253">
      <c r="B253" s="47"/>
      <c r="H253" s="62"/>
    </row>
    <row r="254">
      <c r="B254" s="47"/>
      <c r="H254" s="62"/>
    </row>
    <row r="255">
      <c r="B255" s="47"/>
      <c r="H255" s="62"/>
    </row>
    <row r="256">
      <c r="B256" s="47"/>
      <c r="H256" s="62"/>
    </row>
    <row r="257">
      <c r="B257" s="47"/>
      <c r="H257" s="62"/>
    </row>
    <row r="258">
      <c r="B258" s="47"/>
      <c r="H258" s="62"/>
    </row>
    <row r="259">
      <c r="B259" s="47"/>
      <c r="H259" s="62"/>
    </row>
    <row r="260">
      <c r="B260" s="47"/>
      <c r="H260" s="62"/>
    </row>
    <row r="261">
      <c r="B261" s="47"/>
      <c r="H261" s="62"/>
    </row>
    <row r="262">
      <c r="B262" s="47"/>
      <c r="H262" s="62"/>
    </row>
    <row r="263">
      <c r="B263" s="47"/>
      <c r="H263" s="62"/>
    </row>
    <row r="264">
      <c r="B264" s="47"/>
      <c r="H264" s="62"/>
    </row>
    <row r="265">
      <c r="B265" s="47"/>
      <c r="H265" s="62"/>
    </row>
    <row r="266">
      <c r="B266" s="47"/>
      <c r="H266" s="62"/>
    </row>
    <row r="267">
      <c r="B267" s="47"/>
      <c r="H267" s="62"/>
    </row>
    <row r="268">
      <c r="B268" s="47"/>
      <c r="H268" s="62"/>
    </row>
    <row r="269">
      <c r="B269" s="47"/>
      <c r="H269" s="62"/>
    </row>
    <row r="270">
      <c r="B270" s="47"/>
      <c r="H270" s="62"/>
    </row>
    <row r="271">
      <c r="B271" s="47"/>
      <c r="H271" s="62"/>
    </row>
    <row r="272">
      <c r="B272" s="47"/>
      <c r="H272" s="62"/>
    </row>
    <row r="273">
      <c r="B273" s="47"/>
      <c r="H273" s="62"/>
    </row>
    <row r="274">
      <c r="B274" s="47"/>
      <c r="H274" s="62"/>
    </row>
    <row r="275">
      <c r="B275" s="47"/>
      <c r="H275" s="62"/>
    </row>
    <row r="276">
      <c r="B276" s="47"/>
      <c r="H276" s="62"/>
    </row>
    <row r="277">
      <c r="B277" s="47"/>
      <c r="H277" s="62"/>
    </row>
    <row r="278">
      <c r="B278" s="47"/>
      <c r="H278" s="62"/>
    </row>
    <row r="279">
      <c r="B279" s="47"/>
      <c r="H279" s="62"/>
    </row>
    <row r="280">
      <c r="B280" s="47"/>
      <c r="H280" s="62"/>
    </row>
    <row r="281">
      <c r="B281" s="47"/>
      <c r="H281" s="62"/>
    </row>
    <row r="282">
      <c r="B282" s="47"/>
      <c r="H282" s="62"/>
    </row>
    <row r="283">
      <c r="B283" s="47"/>
      <c r="H283" s="62"/>
    </row>
    <row r="284">
      <c r="B284" s="47"/>
      <c r="H284" s="62"/>
    </row>
    <row r="285">
      <c r="B285" s="47"/>
      <c r="H285" s="62"/>
    </row>
    <row r="286">
      <c r="B286" s="47"/>
      <c r="H286" s="62"/>
    </row>
    <row r="287">
      <c r="B287" s="47"/>
      <c r="H287" s="62"/>
    </row>
    <row r="288">
      <c r="B288" s="47"/>
      <c r="H288" s="62"/>
    </row>
    <row r="289">
      <c r="B289" s="47"/>
      <c r="H289" s="62"/>
    </row>
    <row r="290">
      <c r="B290" s="47"/>
      <c r="H290" s="62"/>
    </row>
    <row r="291">
      <c r="B291" s="47"/>
      <c r="H291" s="62"/>
    </row>
    <row r="292">
      <c r="B292" s="47"/>
      <c r="H292" s="62"/>
    </row>
    <row r="293">
      <c r="B293" s="47"/>
      <c r="H293" s="62"/>
    </row>
    <row r="294">
      <c r="B294" s="47"/>
      <c r="H294" s="62"/>
    </row>
    <row r="295">
      <c r="B295" s="47"/>
      <c r="H295" s="62"/>
    </row>
    <row r="296">
      <c r="B296" s="47"/>
      <c r="H296" s="62"/>
    </row>
    <row r="297">
      <c r="B297" s="47"/>
      <c r="H297" s="62"/>
    </row>
    <row r="298">
      <c r="B298" s="47"/>
      <c r="H298" s="62"/>
    </row>
    <row r="299">
      <c r="B299" s="47"/>
      <c r="H299" s="62"/>
    </row>
    <row r="300">
      <c r="B300" s="47"/>
      <c r="H300" s="62"/>
    </row>
    <row r="301">
      <c r="B301" s="47"/>
      <c r="H301" s="62"/>
    </row>
    <row r="302">
      <c r="B302" s="47"/>
      <c r="H302" s="62"/>
    </row>
    <row r="303">
      <c r="B303" s="47"/>
      <c r="H303" s="62"/>
    </row>
    <row r="304">
      <c r="B304" s="47"/>
      <c r="H304" s="62"/>
    </row>
    <row r="305">
      <c r="B305" s="47"/>
      <c r="H305" s="62"/>
    </row>
    <row r="306">
      <c r="B306" s="47"/>
      <c r="H306" s="62"/>
    </row>
    <row r="307">
      <c r="B307" s="47"/>
      <c r="H307" s="62"/>
    </row>
    <row r="308">
      <c r="B308" s="47"/>
      <c r="H308" s="62"/>
    </row>
    <row r="309">
      <c r="B309" s="47"/>
      <c r="H309" s="62"/>
    </row>
    <row r="310">
      <c r="B310" s="47"/>
      <c r="H310" s="62"/>
    </row>
    <row r="311">
      <c r="B311" s="47"/>
      <c r="H311" s="62"/>
    </row>
    <row r="312">
      <c r="B312" s="47"/>
      <c r="H312" s="62"/>
    </row>
    <row r="313">
      <c r="B313" s="47"/>
      <c r="H313" s="62"/>
    </row>
    <row r="314">
      <c r="B314" s="47"/>
      <c r="H314" s="62"/>
    </row>
    <row r="315">
      <c r="B315" s="47"/>
      <c r="H315" s="62"/>
    </row>
    <row r="316">
      <c r="B316" s="47"/>
      <c r="H316" s="62"/>
    </row>
    <row r="317">
      <c r="B317" s="47"/>
      <c r="H317" s="62"/>
    </row>
    <row r="318">
      <c r="B318" s="47"/>
      <c r="H318" s="62"/>
    </row>
    <row r="319">
      <c r="B319" s="47"/>
      <c r="H319" s="62"/>
    </row>
    <row r="320">
      <c r="B320" s="47"/>
      <c r="H320" s="62"/>
    </row>
    <row r="321">
      <c r="B321" s="47"/>
      <c r="H321" s="62"/>
    </row>
    <row r="322">
      <c r="B322" s="47"/>
      <c r="H322" s="62"/>
    </row>
    <row r="323">
      <c r="B323" s="47"/>
      <c r="H323" s="62"/>
    </row>
    <row r="324">
      <c r="B324" s="47"/>
      <c r="H324" s="62"/>
    </row>
    <row r="325">
      <c r="B325" s="47"/>
      <c r="H325" s="62"/>
    </row>
    <row r="326">
      <c r="B326" s="47"/>
      <c r="H326" s="62"/>
    </row>
    <row r="327">
      <c r="B327" s="47"/>
      <c r="H327" s="62"/>
    </row>
    <row r="328">
      <c r="B328" s="47"/>
      <c r="H328" s="62"/>
    </row>
    <row r="329">
      <c r="B329" s="47"/>
      <c r="H329" s="62"/>
    </row>
    <row r="330">
      <c r="B330" s="47"/>
      <c r="H330" s="62"/>
    </row>
    <row r="331">
      <c r="B331" s="47"/>
      <c r="H331" s="62"/>
    </row>
    <row r="332">
      <c r="B332" s="47"/>
      <c r="H332" s="62"/>
    </row>
    <row r="333">
      <c r="B333" s="47"/>
      <c r="H333" s="62"/>
    </row>
    <row r="334">
      <c r="B334" s="47"/>
      <c r="H334" s="62"/>
    </row>
    <row r="335">
      <c r="B335" s="47"/>
      <c r="H335" s="62"/>
    </row>
    <row r="336">
      <c r="B336" s="47"/>
      <c r="H336" s="62"/>
    </row>
    <row r="337">
      <c r="B337" s="47"/>
      <c r="H337" s="62"/>
    </row>
    <row r="338">
      <c r="B338" s="47"/>
      <c r="H338" s="62"/>
    </row>
    <row r="339">
      <c r="B339" s="47"/>
      <c r="H339" s="62"/>
    </row>
    <row r="340">
      <c r="B340" s="47"/>
      <c r="H340" s="62"/>
    </row>
    <row r="341">
      <c r="B341" s="47"/>
      <c r="H341" s="62"/>
    </row>
    <row r="342">
      <c r="B342" s="47"/>
      <c r="H342" s="62"/>
    </row>
    <row r="343">
      <c r="B343" s="47"/>
      <c r="H343" s="62"/>
    </row>
    <row r="344">
      <c r="B344" s="47"/>
      <c r="H344" s="62"/>
    </row>
    <row r="345">
      <c r="B345" s="47"/>
      <c r="H345" s="62"/>
    </row>
    <row r="346">
      <c r="B346" s="47"/>
      <c r="H346" s="62"/>
    </row>
    <row r="347">
      <c r="B347" s="47"/>
      <c r="H347" s="62"/>
    </row>
    <row r="348">
      <c r="B348" s="47"/>
      <c r="H348" s="62"/>
    </row>
    <row r="349">
      <c r="B349" s="47"/>
      <c r="H349" s="62"/>
    </row>
    <row r="350">
      <c r="B350" s="47"/>
      <c r="H350" s="62"/>
    </row>
    <row r="351">
      <c r="B351" s="47"/>
      <c r="H351" s="62"/>
    </row>
    <row r="352">
      <c r="B352" s="47"/>
      <c r="H352" s="62"/>
    </row>
    <row r="353">
      <c r="B353" s="47"/>
      <c r="H353" s="62"/>
    </row>
    <row r="354">
      <c r="B354" s="47"/>
      <c r="H354" s="62"/>
    </row>
    <row r="355">
      <c r="B355" s="47"/>
      <c r="H355" s="62"/>
    </row>
    <row r="356">
      <c r="B356" s="47"/>
      <c r="H356" s="62"/>
    </row>
    <row r="357">
      <c r="B357" s="47"/>
      <c r="H357" s="62"/>
    </row>
    <row r="358">
      <c r="B358" s="47"/>
      <c r="H358" s="62"/>
    </row>
    <row r="359">
      <c r="B359" s="47"/>
      <c r="H359" s="62"/>
    </row>
    <row r="360">
      <c r="B360" s="47"/>
      <c r="H360" s="62"/>
    </row>
    <row r="361">
      <c r="B361" s="47"/>
      <c r="H361" s="62"/>
    </row>
    <row r="362">
      <c r="B362" s="47"/>
      <c r="H362" s="62"/>
    </row>
    <row r="363">
      <c r="B363" s="47"/>
      <c r="H363" s="62"/>
    </row>
    <row r="364">
      <c r="B364" s="47"/>
      <c r="H364" s="62"/>
    </row>
    <row r="365">
      <c r="B365" s="47"/>
      <c r="H365" s="62"/>
    </row>
    <row r="366">
      <c r="B366" s="47"/>
      <c r="H366" s="62"/>
    </row>
    <row r="367">
      <c r="B367" s="47"/>
      <c r="H367" s="62"/>
    </row>
    <row r="368">
      <c r="B368" s="47"/>
      <c r="H368" s="62"/>
    </row>
    <row r="369">
      <c r="B369" s="47"/>
      <c r="H369" s="62"/>
    </row>
    <row r="370">
      <c r="B370" s="47"/>
      <c r="H370" s="62"/>
    </row>
    <row r="371">
      <c r="B371" s="47"/>
      <c r="H371" s="62"/>
    </row>
    <row r="372">
      <c r="B372" s="47"/>
      <c r="H372" s="62"/>
    </row>
    <row r="373">
      <c r="B373" s="47"/>
      <c r="H373" s="62"/>
    </row>
    <row r="374">
      <c r="B374" s="47"/>
      <c r="H374" s="62"/>
    </row>
    <row r="375">
      <c r="B375" s="47"/>
      <c r="H375" s="62"/>
    </row>
    <row r="376">
      <c r="B376" s="47"/>
      <c r="H376" s="62"/>
    </row>
    <row r="377">
      <c r="B377" s="47"/>
      <c r="H377" s="62"/>
    </row>
    <row r="378">
      <c r="B378" s="47"/>
      <c r="H378" s="62"/>
    </row>
    <row r="379">
      <c r="B379" s="47"/>
      <c r="H379" s="62"/>
    </row>
    <row r="380">
      <c r="B380" s="47"/>
      <c r="H380" s="62"/>
    </row>
    <row r="381">
      <c r="B381" s="47"/>
      <c r="H381" s="62"/>
    </row>
    <row r="382">
      <c r="B382" s="47"/>
      <c r="H382" s="62"/>
    </row>
    <row r="383">
      <c r="B383" s="47"/>
      <c r="H383" s="62"/>
    </row>
    <row r="384">
      <c r="B384" s="47"/>
      <c r="H384" s="62"/>
    </row>
    <row r="385">
      <c r="B385" s="47"/>
      <c r="H385" s="62"/>
    </row>
    <row r="386">
      <c r="B386" s="47"/>
      <c r="H386" s="62"/>
    </row>
    <row r="387">
      <c r="B387" s="47"/>
      <c r="H387" s="62"/>
    </row>
    <row r="388">
      <c r="B388" s="47"/>
      <c r="H388" s="62"/>
    </row>
    <row r="389">
      <c r="B389" s="47"/>
      <c r="H389" s="62"/>
    </row>
    <row r="390">
      <c r="B390" s="47"/>
      <c r="H390" s="62"/>
    </row>
    <row r="391">
      <c r="B391" s="47"/>
      <c r="H391" s="62"/>
    </row>
    <row r="392">
      <c r="B392" s="47"/>
      <c r="H392" s="62"/>
    </row>
    <row r="393">
      <c r="B393" s="47"/>
      <c r="H393" s="62"/>
    </row>
    <row r="394">
      <c r="B394" s="47"/>
      <c r="H394" s="62"/>
    </row>
    <row r="395">
      <c r="B395" s="47"/>
      <c r="H395" s="62"/>
    </row>
    <row r="396">
      <c r="B396" s="47"/>
      <c r="H396" s="62"/>
    </row>
    <row r="397">
      <c r="B397" s="47"/>
      <c r="H397" s="62"/>
    </row>
    <row r="398">
      <c r="B398" s="47"/>
      <c r="H398" s="62"/>
    </row>
    <row r="399">
      <c r="B399" s="47"/>
      <c r="H399" s="62"/>
    </row>
    <row r="400">
      <c r="B400" s="47"/>
      <c r="H400" s="62"/>
    </row>
    <row r="401">
      <c r="B401" s="47"/>
      <c r="H401" s="62"/>
    </row>
    <row r="402">
      <c r="B402" s="47"/>
      <c r="H402" s="62"/>
    </row>
    <row r="403">
      <c r="B403" s="47"/>
      <c r="H403" s="62"/>
    </row>
    <row r="404">
      <c r="B404" s="47"/>
      <c r="H404" s="62"/>
    </row>
    <row r="405">
      <c r="B405" s="47"/>
      <c r="H405" s="62"/>
    </row>
    <row r="406">
      <c r="B406" s="47"/>
      <c r="H406" s="62"/>
    </row>
    <row r="407">
      <c r="B407" s="47"/>
      <c r="H407" s="62"/>
    </row>
    <row r="408">
      <c r="B408" s="47"/>
      <c r="H408" s="62"/>
    </row>
    <row r="409">
      <c r="B409" s="47"/>
      <c r="H409" s="62"/>
    </row>
    <row r="410">
      <c r="B410" s="47"/>
      <c r="H410" s="62"/>
    </row>
    <row r="411">
      <c r="B411" s="47"/>
      <c r="H411" s="62"/>
    </row>
    <row r="412">
      <c r="B412" s="47"/>
      <c r="H412" s="62"/>
    </row>
    <row r="413">
      <c r="B413" s="47"/>
      <c r="H413" s="62"/>
    </row>
    <row r="414">
      <c r="B414" s="47"/>
      <c r="H414" s="62"/>
    </row>
    <row r="415">
      <c r="B415" s="47"/>
      <c r="H415" s="62"/>
    </row>
    <row r="416">
      <c r="B416" s="47"/>
      <c r="H416" s="62"/>
    </row>
    <row r="417">
      <c r="B417" s="47"/>
      <c r="H417" s="62"/>
    </row>
    <row r="418">
      <c r="B418" s="47"/>
      <c r="H418" s="62"/>
    </row>
    <row r="419">
      <c r="B419" s="47"/>
      <c r="H419" s="62"/>
    </row>
    <row r="420">
      <c r="B420" s="47"/>
      <c r="H420" s="62"/>
    </row>
    <row r="421">
      <c r="B421" s="47"/>
      <c r="H421" s="62"/>
    </row>
    <row r="422">
      <c r="B422" s="47"/>
      <c r="H422" s="62"/>
    </row>
    <row r="423">
      <c r="B423" s="47"/>
      <c r="H423" s="62"/>
    </row>
    <row r="424">
      <c r="B424" s="47"/>
      <c r="H424" s="62"/>
    </row>
    <row r="425">
      <c r="B425" s="47"/>
      <c r="H425" s="62"/>
    </row>
    <row r="426">
      <c r="B426" s="47"/>
      <c r="H426" s="62"/>
    </row>
    <row r="427">
      <c r="B427" s="47"/>
      <c r="H427" s="62"/>
    </row>
    <row r="428">
      <c r="B428" s="47"/>
      <c r="H428" s="62"/>
    </row>
    <row r="429">
      <c r="B429" s="47"/>
      <c r="H429" s="62"/>
    </row>
    <row r="430">
      <c r="B430" s="47"/>
      <c r="H430" s="62"/>
    </row>
    <row r="431">
      <c r="B431" s="47"/>
      <c r="H431" s="62"/>
    </row>
    <row r="432">
      <c r="B432" s="47"/>
      <c r="H432" s="62"/>
    </row>
    <row r="433">
      <c r="B433" s="47"/>
      <c r="H433" s="62"/>
    </row>
    <row r="434">
      <c r="B434" s="47"/>
      <c r="H434" s="62"/>
    </row>
    <row r="435">
      <c r="B435" s="47"/>
      <c r="H435" s="62"/>
    </row>
    <row r="436">
      <c r="B436" s="47"/>
      <c r="H436" s="62"/>
    </row>
    <row r="437">
      <c r="B437" s="47"/>
      <c r="H437" s="62"/>
    </row>
    <row r="438">
      <c r="B438" s="47"/>
      <c r="H438" s="62"/>
    </row>
    <row r="439">
      <c r="B439" s="47"/>
      <c r="H439" s="62"/>
    </row>
    <row r="440">
      <c r="B440" s="47"/>
      <c r="H440" s="62"/>
    </row>
    <row r="441">
      <c r="B441" s="47"/>
      <c r="H441" s="62"/>
    </row>
    <row r="442">
      <c r="B442" s="47"/>
      <c r="H442" s="62"/>
    </row>
    <row r="443">
      <c r="B443" s="47"/>
      <c r="H443" s="62"/>
    </row>
    <row r="444">
      <c r="B444" s="47"/>
      <c r="H444" s="62"/>
    </row>
    <row r="445">
      <c r="B445" s="47"/>
      <c r="H445" s="62"/>
    </row>
    <row r="446">
      <c r="B446" s="47"/>
      <c r="H446" s="62"/>
    </row>
    <row r="447">
      <c r="B447" s="47"/>
      <c r="H447" s="62"/>
    </row>
    <row r="448">
      <c r="B448" s="47"/>
      <c r="H448" s="62"/>
    </row>
    <row r="449">
      <c r="B449" s="47"/>
      <c r="H449" s="62"/>
    </row>
    <row r="450">
      <c r="B450" s="47"/>
      <c r="H450" s="62"/>
    </row>
    <row r="451">
      <c r="B451" s="47"/>
      <c r="H451" s="62"/>
    </row>
    <row r="452">
      <c r="B452" s="47"/>
      <c r="H452" s="62"/>
    </row>
    <row r="453">
      <c r="B453" s="47"/>
      <c r="H453" s="62"/>
    </row>
    <row r="454">
      <c r="B454" s="47"/>
      <c r="H454" s="62"/>
    </row>
    <row r="455">
      <c r="B455" s="47"/>
      <c r="H455" s="62"/>
    </row>
    <row r="456">
      <c r="B456" s="47"/>
      <c r="H456" s="62"/>
    </row>
    <row r="457">
      <c r="B457" s="47"/>
      <c r="H457" s="62"/>
    </row>
    <row r="458">
      <c r="B458" s="47"/>
      <c r="H458" s="62"/>
    </row>
    <row r="459">
      <c r="B459" s="47"/>
      <c r="H459" s="62"/>
    </row>
    <row r="460">
      <c r="B460" s="47"/>
      <c r="H460" s="62"/>
    </row>
    <row r="461">
      <c r="B461" s="47"/>
      <c r="H461" s="62"/>
    </row>
    <row r="462">
      <c r="B462" s="47"/>
      <c r="H462" s="62"/>
    </row>
    <row r="463">
      <c r="B463" s="47"/>
      <c r="H463" s="62"/>
    </row>
    <row r="464">
      <c r="B464" s="47"/>
      <c r="H464" s="62"/>
    </row>
    <row r="465">
      <c r="B465" s="47"/>
      <c r="H465" s="62"/>
    </row>
    <row r="466">
      <c r="B466" s="47"/>
      <c r="H466" s="62"/>
    </row>
    <row r="467">
      <c r="B467" s="47"/>
      <c r="H467" s="62"/>
    </row>
    <row r="468">
      <c r="B468" s="47"/>
      <c r="H468" s="62"/>
    </row>
    <row r="469">
      <c r="B469" s="47"/>
      <c r="H469" s="62"/>
    </row>
    <row r="470">
      <c r="B470" s="47"/>
      <c r="H470" s="62"/>
    </row>
    <row r="471">
      <c r="B471" s="47"/>
      <c r="H471" s="62"/>
    </row>
    <row r="472">
      <c r="B472" s="47"/>
      <c r="H472" s="62"/>
    </row>
    <row r="473">
      <c r="B473" s="47"/>
      <c r="H473" s="62"/>
    </row>
    <row r="474">
      <c r="B474" s="47"/>
      <c r="H474" s="62"/>
    </row>
    <row r="475">
      <c r="B475" s="47"/>
      <c r="H475" s="62"/>
    </row>
    <row r="476">
      <c r="B476" s="47"/>
      <c r="H476" s="62"/>
    </row>
    <row r="477">
      <c r="B477" s="47"/>
      <c r="H477" s="62"/>
    </row>
    <row r="478">
      <c r="B478" s="47"/>
      <c r="H478" s="62"/>
    </row>
    <row r="479">
      <c r="B479" s="47"/>
      <c r="H479" s="62"/>
    </row>
    <row r="480">
      <c r="B480" s="47"/>
      <c r="H480" s="62"/>
    </row>
    <row r="481">
      <c r="B481" s="47"/>
      <c r="H481" s="62"/>
    </row>
    <row r="482">
      <c r="B482" s="47"/>
      <c r="H482" s="62"/>
    </row>
    <row r="483">
      <c r="B483" s="47"/>
      <c r="H483" s="62"/>
    </row>
    <row r="484">
      <c r="B484" s="47"/>
      <c r="H484" s="62"/>
    </row>
    <row r="485">
      <c r="B485" s="47"/>
      <c r="H485" s="62"/>
    </row>
    <row r="486">
      <c r="B486" s="47"/>
      <c r="H486" s="62"/>
    </row>
    <row r="487">
      <c r="B487" s="47"/>
      <c r="H487" s="62"/>
    </row>
    <row r="488">
      <c r="B488" s="47"/>
      <c r="H488" s="62"/>
    </row>
    <row r="489">
      <c r="B489" s="47"/>
      <c r="H489" s="62"/>
    </row>
    <row r="490">
      <c r="B490" s="47"/>
      <c r="H490" s="62"/>
    </row>
    <row r="491">
      <c r="B491" s="47"/>
      <c r="H491" s="62"/>
    </row>
    <row r="492">
      <c r="B492" s="47"/>
      <c r="H492" s="62"/>
    </row>
    <row r="493">
      <c r="B493" s="47"/>
      <c r="H493" s="62"/>
    </row>
    <row r="494">
      <c r="B494" s="47"/>
      <c r="H494" s="62"/>
    </row>
    <row r="495">
      <c r="B495" s="47"/>
      <c r="H495" s="62"/>
    </row>
    <row r="496">
      <c r="B496" s="47"/>
      <c r="H496" s="62"/>
    </row>
    <row r="497">
      <c r="B497" s="47"/>
      <c r="H497" s="62"/>
    </row>
    <row r="498">
      <c r="B498" s="47"/>
      <c r="H498" s="62"/>
    </row>
    <row r="499">
      <c r="B499" s="47"/>
      <c r="H499" s="62"/>
    </row>
    <row r="500">
      <c r="B500" s="47"/>
      <c r="H500" s="62"/>
    </row>
    <row r="501">
      <c r="B501" s="47"/>
      <c r="H501" s="62"/>
    </row>
    <row r="502">
      <c r="B502" s="47"/>
      <c r="H502" s="62"/>
    </row>
    <row r="503">
      <c r="B503" s="47"/>
      <c r="H503" s="62"/>
    </row>
    <row r="504">
      <c r="B504" s="47"/>
      <c r="H504" s="62"/>
    </row>
    <row r="505">
      <c r="B505" s="47"/>
      <c r="H505" s="62"/>
    </row>
    <row r="506">
      <c r="B506" s="47"/>
      <c r="H506" s="62"/>
    </row>
    <row r="507">
      <c r="B507" s="47"/>
      <c r="H507" s="62"/>
    </row>
    <row r="508">
      <c r="B508" s="47"/>
      <c r="H508" s="62"/>
    </row>
    <row r="509">
      <c r="B509" s="47"/>
      <c r="H509" s="62"/>
    </row>
    <row r="510">
      <c r="B510" s="47"/>
      <c r="H510" s="62"/>
    </row>
    <row r="511">
      <c r="B511" s="47"/>
      <c r="H511" s="62"/>
    </row>
    <row r="512">
      <c r="B512" s="47"/>
      <c r="H512" s="62"/>
    </row>
    <row r="513">
      <c r="B513" s="47"/>
      <c r="H513" s="62"/>
    </row>
    <row r="514">
      <c r="B514" s="47"/>
      <c r="H514" s="62"/>
    </row>
    <row r="515">
      <c r="B515" s="47"/>
      <c r="H515" s="62"/>
    </row>
    <row r="516">
      <c r="B516" s="47"/>
      <c r="H516" s="62"/>
    </row>
    <row r="517">
      <c r="B517" s="47"/>
      <c r="H517" s="62"/>
    </row>
    <row r="518">
      <c r="B518" s="47"/>
      <c r="H518" s="62"/>
    </row>
    <row r="519">
      <c r="B519" s="47"/>
      <c r="H519" s="62"/>
    </row>
    <row r="520">
      <c r="B520" s="47"/>
      <c r="H520" s="62"/>
    </row>
    <row r="521">
      <c r="B521" s="47"/>
      <c r="H521" s="62"/>
    </row>
    <row r="522">
      <c r="B522" s="47"/>
      <c r="H522" s="62"/>
    </row>
    <row r="523">
      <c r="B523" s="47"/>
      <c r="H523" s="62"/>
    </row>
    <row r="524">
      <c r="B524" s="47"/>
      <c r="H524" s="62"/>
    </row>
    <row r="525">
      <c r="B525" s="47"/>
      <c r="H525" s="62"/>
    </row>
    <row r="526">
      <c r="B526" s="47"/>
      <c r="H526" s="62"/>
    </row>
    <row r="527">
      <c r="B527" s="47"/>
      <c r="H527" s="62"/>
    </row>
    <row r="528">
      <c r="B528" s="47"/>
      <c r="H528" s="62"/>
    </row>
    <row r="529">
      <c r="B529" s="47"/>
      <c r="H529" s="62"/>
    </row>
    <row r="530">
      <c r="B530" s="47"/>
      <c r="H530" s="62"/>
    </row>
    <row r="531">
      <c r="B531" s="47"/>
      <c r="H531" s="62"/>
    </row>
    <row r="532">
      <c r="B532" s="47"/>
      <c r="H532" s="62"/>
    </row>
    <row r="533">
      <c r="B533" s="47"/>
      <c r="H533" s="62"/>
    </row>
    <row r="534">
      <c r="B534" s="47"/>
      <c r="H534" s="62"/>
    </row>
    <row r="535">
      <c r="B535" s="47"/>
      <c r="H535" s="62"/>
    </row>
    <row r="536">
      <c r="B536" s="47"/>
      <c r="H536" s="62"/>
    </row>
    <row r="537">
      <c r="B537" s="47"/>
      <c r="H537" s="62"/>
    </row>
    <row r="538">
      <c r="B538" s="47"/>
      <c r="H538" s="62"/>
    </row>
    <row r="539">
      <c r="B539" s="47"/>
      <c r="H539" s="62"/>
    </row>
    <row r="540">
      <c r="B540" s="47"/>
      <c r="H540" s="62"/>
    </row>
    <row r="541">
      <c r="B541" s="47"/>
      <c r="H541" s="62"/>
    </row>
    <row r="542">
      <c r="B542" s="47"/>
      <c r="H542" s="62"/>
    </row>
    <row r="543">
      <c r="B543" s="47"/>
      <c r="H543" s="62"/>
    </row>
    <row r="544">
      <c r="B544" s="47"/>
      <c r="H544" s="62"/>
    </row>
    <row r="545">
      <c r="B545" s="47"/>
      <c r="H545" s="62"/>
    </row>
    <row r="546">
      <c r="B546" s="47"/>
      <c r="H546" s="62"/>
    </row>
    <row r="547">
      <c r="B547" s="47"/>
      <c r="H547" s="62"/>
    </row>
    <row r="548">
      <c r="B548" s="47"/>
      <c r="H548" s="62"/>
    </row>
    <row r="549">
      <c r="B549" s="47"/>
      <c r="H549" s="62"/>
    </row>
    <row r="550">
      <c r="B550" s="47"/>
      <c r="H550" s="62"/>
    </row>
    <row r="551">
      <c r="B551" s="47"/>
      <c r="H551" s="62"/>
    </row>
    <row r="552">
      <c r="B552" s="47"/>
      <c r="H552" s="62"/>
    </row>
    <row r="553">
      <c r="B553" s="47"/>
      <c r="H553" s="62"/>
    </row>
    <row r="554">
      <c r="B554" s="47"/>
      <c r="H554" s="62"/>
    </row>
    <row r="555">
      <c r="B555" s="47"/>
      <c r="H555" s="62"/>
    </row>
    <row r="556">
      <c r="B556" s="47"/>
      <c r="H556" s="62"/>
    </row>
    <row r="557">
      <c r="B557" s="47"/>
      <c r="H557" s="62"/>
    </row>
    <row r="558">
      <c r="B558" s="47"/>
      <c r="H558" s="62"/>
    </row>
    <row r="559">
      <c r="B559" s="47"/>
      <c r="H559" s="62"/>
    </row>
    <row r="560">
      <c r="B560" s="47"/>
      <c r="H560" s="62"/>
    </row>
    <row r="561">
      <c r="B561" s="47"/>
      <c r="H561" s="62"/>
    </row>
    <row r="562">
      <c r="B562" s="47"/>
      <c r="H562" s="62"/>
    </row>
    <row r="563">
      <c r="B563" s="47"/>
      <c r="H563" s="62"/>
    </row>
    <row r="564">
      <c r="B564" s="47"/>
      <c r="H564" s="62"/>
    </row>
    <row r="565">
      <c r="B565" s="47"/>
      <c r="H565" s="62"/>
    </row>
    <row r="566">
      <c r="B566" s="47"/>
      <c r="H566" s="62"/>
    </row>
    <row r="567">
      <c r="B567" s="47"/>
      <c r="H567" s="62"/>
    </row>
    <row r="568">
      <c r="B568" s="47"/>
      <c r="H568" s="62"/>
    </row>
    <row r="569">
      <c r="B569" s="47"/>
      <c r="H569" s="62"/>
    </row>
    <row r="570">
      <c r="B570" s="47"/>
      <c r="H570" s="62"/>
    </row>
    <row r="571">
      <c r="B571" s="47"/>
      <c r="H571" s="62"/>
    </row>
    <row r="572">
      <c r="B572" s="47"/>
      <c r="H572" s="62"/>
    </row>
    <row r="573">
      <c r="B573" s="47"/>
      <c r="H573" s="62"/>
    </row>
    <row r="574">
      <c r="B574" s="47"/>
      <c r="H574" s="62"/>
    </row>
    <row r="575">
      <c r="B575" s="47"/>
      <c r="H575" s="62"/>
    </row>
    <row r="576">
      <c r="B576" s="47"/>
      <c r="H576" s="62"/>
    </row>
    <row r="577">
      <c r="B577" s="47"/>
      <c r="H577" s="62"/>
    </row>
    <row r="578">
      <c r="B578" s="47"/>
      <c r="H578" s="62"/>
    </row>
    <row r="579">
      <c r="B579" s="47"/>
      <c r="H579" s="62"/>
    </row>
    <row r="580">
      <c r="B580" s="47"/>
      <c r="H580" s="62"/>
    </row>
    <row r="581">
      <c r="B581" s="47"/>
      <c r="H581" s="62"/>
    </row>
    <row r="582">
      <c r="B582" s="47"/>
      <c r="H582" s="62"/>
    </row>
    <row r="583">
      <c r="B583" s="47"/>
      <c r="H583" s="62"/>
    </row>
    <row r="584">
      <c r="B584" s="47"/>
      <c r="H584" s="62"/>
    </row>
    <row r="585">
      <c r="B585" s="47"/>
      <c r="H585" s="62"/>
    </row>
    <row r="586">
      <c r="B586" s="47"/>
      <c r="H586" s="62"/>
    </row>
    <row r="587">
      <c r="B587" s="47"/>
      <c r="H587" s="62"/>
    </row>
    <row r="588">
      <c r="B588" s="47"/>
      <c r="H588" s="62"/>
    </row>
    <row r="589">
      <c r="B589" s="47"/>
      <c r="H589" s="62"/>
    </row>
    <row r="590">
      <c r="B590" s="47"/>
      <c r="H590" s="62"/>
    </row>
    <row r="591">
      <c r="B591" s="47"/>
      <c r="H591" s="62"/>
    </row>
    <row r="592">
      <c r="B592" s="47"/>
      <c r="H592" s="62"/>
    </row>
    <row r="593">
      <c r="B593" s="47"/>
      <c r="H593" s="62"/>
    </row>
    <row r="594">
      <c r="B594" s="47"/>
      <c r="H594" s="62"/>
    </row>
    <row r="595">
      <c r="B595" s="47"/>
      <c r="H595" s="62"/>
    </row>
    <row r="596">
      <c r="B596" s="47"/>
      <c r="H596" s="62"/>
    </row>
    <row r="597">
      <c r="B597" s="47"/>
      <c r="H597" s="62"/>
    </row>
    <row r="598">
      <c r="B598" s="47"/>
      <c r="H598" s="62"/>
    </row>
    <row r="599">
      <c r="B599" s="47"/>
      <c r="H599" s="62"/>
    </row>
    <row r="600">
      <c r="B600" s="47"/>
      <c r="H600" s="62"/>
    </row>
    <row r="601">
      <c r="B601" s="47"/>
      <c r="H601" s="62"/>
    </row>
    <row r="602">
      <c r="B602" s="47"/>
      <c r="H602" s="62"/>
    </row>
    <row r="603">
      <c r="B603" s="47"/>
      <c r="H603" s="62"/>
    </row>
    <row r="604">
      <c r="B604" s="47"/>
      <c r="H604" s="62"/>
    </row>
    <row r="605">
      <c r="B605" s="47"/>
      <c r="H605" s="62"/>
    </row>
    <row r="606">
      <c r="B606" s="47"/>
      <c r="H606" s="62"/>
    </row>
    <row r="607">
      <c r="B607" s="47"/>
      <c r="H607" s="62"/>
    </row>
    <row r="608">
      <c r="B608" s="47"/>
      <c r="H608" s="62"/>
    </row>
    <row r="609">
      <c r="B609" s="47"/>
      <c r="H609" s="62"/>
    </row>
    <row r="610">
      <c r="B610" s="47"/>
      <c r="H610" s="62"/>
    </row>
    <row r="611">
      <c r="B611" s="47"/>
      <c r="H611" s="62"/>
    </row>
    <row r="612">
      <c r="B612" s="47"/>
      <c r="H612" s="62"/>
    </row>
    <row r="613">
      <c r="B613" s="47"/>
      <c r="H613" s="62"/>
    </row>
    <row r="614">
      <c r="B614" s="47"/>
      <c r="H614" s="62"/>
    </row>
    <row r="615">
      <c r="B615" s="47"/>
      <c r="H615" s="62"/>
    </row>
    <row r="616">
      <c r="B616" s="47"/>
      <c r="H616" s="62"/>
    </row>
    <row r="617">
      <c r="B617" s="47"/>
      <c r="H617" s="62"/>
    </row>
    <row r="618">
      <c r="B618" s="47"/>
      <c r="H618" s="62"/>
    </row>
    <row r="619">
      <c r="B619" s="47"/>
      <c r="H619" s="62"/>
    </row>
    <row r="620">
      <c r="B620" s="47"/>
      <c r="H620" s="62"/>
    </row>
    <row r="621">
      <c r="B621" s="47"/>
      <c r="H621" s="62"/>
    </row>
    <row r="622">
      <c r="B622" s="47"/>
      <c r="H622" s="62"/>
    </row>
    <row r="623">
      <c r="B623" s="47"/>
      <c r="H623" s="62"/>
    </row>
    <row r="624">
      <c r="B624" s="47"/>
      <c r="H624" s="62"/>
    </row>
    <row r="625">
      <c r="B625" s="47"/>
      <c r="H625" s="62"/>
    </row>
    <row r="626">
      <c r="B626" s="47"/>
      <c r="H626" s="62"/>
    </row>
    <row r="627">
      <c r="B627" s="47"/>
      <c r="H627" s="62"/>
    </row>
    <row r="628">
      <c r="B628" s="47"/>
      <c r="H628" s="62"/>
    </row>
    <row r="629">
      <c r="B629" s="47"/>
      <c r="H629" s="62"/>
    </row>
    <row r="630">
      <c r="B630" s="47"/>
      <c r="H630" s="62"/>
    </row>
    <row r="631">
      <c r="B631" s="47"/>
      <c r="H631" s="62"/>
    </row>
    <row r="632">
      <c r="B632" s="47"/>
      <c r="H632" s="62"/>
    </row>
    <row r="633">
      <c r="B633" s="47"/>
      <c r="H633" s="62"/>
    </row>
    <row r="634">
      <c r="B634" s="47"/>
      <c r="H634" s="62"/>
    </row>
    <row r="635">
      <c r="B635" s="47"/>
      <c r="H635" s="62"/>
    </row>
    <row r="636">
      <c r="B636" s="47"/>
      <c r="H636" s="62"/>
    </row>
    <row r="637">
      <c r="B637" s="47"/>
      <c r="H637" s="62"/>
    </row>
    <row r="638">
      <c r="B638" s="47"/>
      <c r="H638" s="62"/>
    </row>
    <row r="639">
      <c r="B639" s="47"/>
      <c r="H639" s="62"/>
    </row>
    <row r="640">
      <c r="B640" s="47"/>
      <c r="H640" s="62"/>
    </row>
    <row r="641">
      <c r="B641" s="47"/>
      <c r="H641" s="62"/>
    </row>
    <row r="642">
      <c r="B642" s="47"/>
      <c r="H642" s="62"/>
    </row>
    <row r="643">
      <c r="B643" s="47"/>
      <c r="H643" s="62"/>
    </row>
    <row r="644">
      <c r="B644" s="47"/>
      <c r="H644" s="62"/>
    </row>
    <row r="645">
      <c r="B645" s="47"/>
      <c r="H645" s="62"/>
    </row>
    <row r="646">
      <c r="B646" s="47"/>
      <c r="H646" s="62"/>
    </row>
    <row r="647">
      <c r="B647" s="47"/>
      <c r="H647" s="62"/>
    </row>
    <row r="648">
      <c r="B648" s="47"/>
      <c r="H648" s="62"/>
    </row>
    <row r="649">
      <c r="B649" s="47"/>
      <c r="H649" s="62"/>
    </row>
    <row r="650">
      <c r="B650" s="47"/>
      <c r="H650" s="62"/>
    </row>
    <row r="651">
      <c r="B651" s="47"/>
      <c r="H651" s="62"/>
    </row>
    <row r="652">
      <c r="B652" s="47"/>
      <c r="H652" s="62"/>
    </row>
    <row r="653">
      <c r="B653" s="47"/>
      <c r="H653" s="62"/>
    </row>
    <row r="654">
      <c r="B654" s="47"/>
      <c r="H654" s="62"/>
    </row>
    <row r="655">
      <c r="B655" s="47"/>
      <c r="H655" s="62"/>
    </row>
    <row r="656">
      <c r="B656" s="47"/>
      <c r="H656" s="62"/>
    </row>
    <row r="657">
      <c r="B657" s="47"/>
      <c r="H657" s="62"/>
    </row>
    <row r="658">
      <c r="B658" s="47"/>
      <c r="H658" s="62"/>
    </row>
    <row r="659">
      <c r="B659" s="47"/>
      <c r="H659" s="62"/>
    </row>
    <row r="660">
      <c r="B660" s="47"/>
      <c r="H660" s="62"/>
    </row>
    <row r="661">
      <c r="B661" s="47"/>
      <c r="H661" s="62"/>
    </row>
    <row r="662">
      <c r="B662" s="47"/>
      <c r="H662" s="62"/>
    </row>
    <row r="663">
      <c r="B663" s="47"/>
      <c r="H663" s="62"/>
    </row>
    <row r="664">
      <c r="B664" s="47"/>
      <c r="H664" s="62"/>
    </row>
    <row r="665">
      <c r="B665" s="47"/>
      <c r="H665" s="62"/>
    </row>
    <row r="666">
      <c r="B666" s="47"/>
      <c r="H666" s="62"/>
    </row>
    <row r="667">
      <c r="B667" s="47"/>
      <c r="H667" s="62"/>
    </row>
    <row r="668">
      <c r="B668" s="47"/>
      <c r="H668" s="62"/>
    </row>
    <row r="669">
      <c r="B669" s="47"/>
      <c r="H669" s="62"/>
    </row>
    <row r="670">
      <c r="B670" s="47"/>
      <c r="H670" s="62"/>
    </row>
    <row r="671">
      <c r="B671" s="47"/>
      <c r="H671" s="62"/>
    </row>
    <row r="672">
      <c r="B672" s="47"/>
      <c r="H672" s="62"/>
    </row>
    <row r="673">
      <c r="B673" s="47"/>
      <c r="H673" s="62"/>
    </row>
    <row r="674">
      <c r="B674" s="47"/>
      <c r="H674" s="62"/>
    </row>
    <row r="675">
      <c r="B675" s="47"/>
      <c r="H675" s="62"/>
    </row>
    <row r="676">
      <c r="B676" s="47"/>
      <c r="H676" s="62"/>
    </row>
    <row r="677">
      <c r="B677" s="47"/>
      <c r="H677" s="62"/>
    </row>
    <row r="678">
      <c r="B678" s="47"/>
      <c r="H678" s="62"/>
    </row>
    <row r="679">
      <c r="B679" s="47"/>
      <c r="H679" s="62"/>
    </row>
    <row r="680">
      <c r="B680" s="47"/>
      <c r="H680" s="62"/>
    </row>
    <row r="681">
      <c r="B681" s="47"/>
      <c r="H681" s="62"/>
    </row>
    <row r="682">
      <c r="B682" s="47"/>
      <c r="H682" s="62"/>
    </row>
    <row r="683">
      <c r="B683" s="47"/>
      <c r="H683" s="62"/>
    </row>
    <row r="684">
      <c r="B684" s="47"/>
      <c r="H684" s="62"/>
    </row>
    <row r="685">
      <c r="B685" s="47"/>
      <c r="H685" s="62"/>
    </row>
    <row r="686">
      <c r="B686" s="47"/>
      <c r="H686" s="62"/>
    </row>
    <row r="687">
      <c r="B687" s="47"/>
      <c r="H687" s="62"/>
    </row>
    <row r="688">
      <c r="B688" s="47"/>
      <c r="H688" s="62"/>
    </row>
    <row r="689">
      <c r="B689" s="47"/>
      <c r="H689" s="62"/>
    </row>
    <row r="690">
      <c r="B690" s="47"/>
      <c r="H690" s="62"/>
    </row>
    <row r="691">
      <c r="B691" s="47"/>
      <c r="H691" s="62"/>
    </row>
    <row r="692">
      <c r="B692" s="47"/>
      <c r="H692" s="62"/>
    </row>
    <row r="693">
      <c r="B693" s="47"/>
      <c r="H693" s="62"/>
    </row>
    <row r="694">
      <c r="B694" s="47"/>
      <c r="H694" s="62"/>
    </row>
    <row r="695">
      <c r="B695" s="47"/>
      <c r="H695" s="62"/>
    </row>
    <row r="696">
      <c r="B696" s="47"/>
      <c r="H696" s="62"/>
    </row>
    <row r="697">
      <c r="B697" s="47"/>
      <c r="H697" s="62"/>
    </row>
    <row r="698">
      <c r="B698" s="47"/>
      <c r="H698" s="62"/>
    </row>
    <row r="699">
      <c r="B699" s="47"/>
      <c r="H699" s="62"/>
    </row>
    <row r="700">
      <c r="B700" s="47"/>
      <c r="H700" s="62"/>
    </row>
    <row r="701">
      <c r="B701" s="47"/>
      <c r="H701" s="62"/>
    </row>
    <row r="702">
      <c r="B702" s="47"/>
      <c r="H702" s="62"/>
    </row>
    <row r="703">
      <c r="B703" s="47"/>
      <c r="H703" s="62"/>
    </row>
    <row r="704">
      <c r="B704" s="47"/>
      <c r="H704" s="62"/>
    </row>
    <row r="705">
      <c r="B705" s="47"/>
      <c r="H705" s="62"/>
    </row>
    <row r="706">
      <c r="B706" s="47"/>
      <c r="H706" s="62"/>
    </row>
    <row r="707">
      <c r="B707" s="47"/>
      <c r="H707" s="62"/>
    </row>
    <row r="708">
      <c r="B708" s="47"/>
      <c r="H708" s="62"/>
    </row>
    <row r="709">
      <c r="B709" s="47"/>
      <c r="H709" s="62"/>
    </row>
    <row r="710">
      <c r="B710" s="47"/>
      <c r="H710" s="62"/>
    </row>
    <row r="711">
      <c r="B711" s="47"/>
      <c r="H711" s="62"/>
    </row>
    <row r="712">
      <c r="B712" s="47"/>
      <c r="H712" s="62"/>
    </row>
    <row r="713">
      <c r="B713" s="47"/>
      <c r="H713" s="62"/>
    </row>
    <row r="714">
      <c r="B714" s="47"/>
      <c r="H714" s="62"/>
    </row>
    <row r="715">
      <c r="B715" s="47"/>
      <c r="H715" s="62"/>
    </row>
    <row r="716">
      <c r="B716" s="47"/>
      <c r="H716" s="62"/>
    </row>
    <row r="717">
      <c r="B717" s="47"/>
      <c r="H717" s="62"/>
    </row>
    <row r="718">
      <c r="B718" s="47"/>
      <c r="H718" s="62"/>
    </row>
    <row r="719">
      <c r="B719" s="47"/>
      <c r="H719" s="62"/>
    </row>
    <row r="720">
      <c r="B720" s="47"/>
      <c r="H720" s="62"/>
    </row>
    <row r="721">
      <c r="B721" s="47"/>
      <c r="H721" s="62"/>
    </row>
    <row r="722">
      <c r="B722" s="47"/>
      <c r="H722" s="62"/>
    </row>
    <row r="723">
      <c r="B723" s="47"/>
      <c r="H723" s="62"/>
    </row>
    <row r="724">
      <c r="B724" s="47"/>
      <c r="H724" s="62"/>
    </row>
    <row r="725">
      <c r="B725" s="47"/>
      <c r="H725" s="62"/>
    </row>
    <row r="726">
      <c r="B726" s="47"/>
      <c r="H726" s="62"/>
    </row>
    <row r="727">
      <c r="B727" s="47"/>
      <c r="H727" s="62"/>
    </row>
    <row r="728">
      <c r="B728" s="47"/>
      <c r="H728" s="62"/>
    </row>
    <row r="729">
      <c r="B729" s="47"/>
      <c r="H729" s="62"/>
    </row>
    <row r="730">
      <c r="B730" s="47"/>
      <c r="H730" s="62"/>
    </row>
    <row r="731">
      <c r="B731" s="47"/>
      <c r="H731" s="62"/>
    </row>
    <row r="732">
      <c r="B732" s="47"/>
      <c r="H732" s="62"/>
    </row>
    <row r="733">
      <c r="B733" s="47"/>
      <c r="H733" s="62"/>
    </row>
    <row r="734">
      <c r="B734" s="47"/>
      <c r="H734" s="62"/>
    </row>
    <row r="735">
      <c r="B735" s="47"/>
      <c r="H735" s="62"/>
    </row>
    <row r="736">
      <c r="B736" s="47"/>
      <c r="H736" s="62"/>
    </row>
    <row r="737">
      <c r="B737" s="47"/>
      <c r="H737" s="62"/>
    </row>
    <row r="738">
      <c r="B738" s="47"/>
      <c r="H738" s="62"/>
    </row>
    <row r="739">
      <c r="B739" s="47"/>
      <c r="H739" s="62"/>
    </row>
    <row r="740">
      <c r="B740" s="47"/>
      <c r="H740" s="62"/>
    </row>
    <row r="741">
      <c r="B741" s="47"/>
      <c r="H741" s="62"/>
    </row>
    <row r="742">
      <c r="B742" s="47"/>
      <c r="H742" s="62"/>
    </row>
    <row r="743">
      <c r="B743" s="47"/>
      <c r="H743" s="62"/>
    </row>
    <row r="744">
      <c r="B744" s="47"/>
      <c r="H744" s="62"/>
    </row>
    <row r="745">
      <c r="B745" s="47"/>
      <c r="H745" s="62"/>
    </row>
    <row r="746">
      <c r="B746" s="47"/>
      <c r="H746" s="62"/>
    </row>
    <row r="747">
      <c r="B747" s="47"/>
      <c r="H747" s="62"/>
    </row>
    <row r="748">
      <c r="B748" s="47"/>
      <c r="H748" s="62"/>
    </row>
    <row r="749">
      <c r="B749" s="47"/>
      <c r="H749" s="62"/>
    </row>
    <row r="750">
      <c r="B750" s="47"/>
      <c r="H750" s="62"/>
    </row>
    <row r="751">
      <c r="B751" s="47"/>
      <c r="H751" s="62"/>
    </row>
    <row r="752">
      <c r="B752" s="47"/>
      <c r="H752" s="62"/>
    </row>
    <row r="753">
      <c r="B753" s="47"/>
      <c r="H753" s="62"/>
    </row>
    <row r="754">
      <c r="B754" s="47"/>
      <c r="H754" s="62"/>
    </row>
    <row r="755">
      <c r="B755" s="47"/>
      <c r="H755" s="62"/>
    </row>
    <row r="756">
      <c r="B756" s="47"/>
      <c r="H756" s="62"/>
    </row>
    <row r="757">
      <c r="B757" s="47"/>
      <c r="H757" s="62"/>
    </row>
    <row r="758">
      <c r="B758" s="47"/>
      <c r="H758" s="62"/>
    </row>
    <row r="759">
      <c r="B759" s="47"/>
      <c r="H759" s="62"/>
    </row>
    <row r="760">
      <c r="B760" s="47"/>
      <c r="H760" s="62"/>
    </row>
    <row r="761">
      <c r="B761" s="47"/>
      <c r="H761" s="62"/>
    </row>
    <row r="762">
      <c r="B762" s="47"/>
      <c r="H762" s="62"/>
    </row>
    <row r="763">
      <c r="B763" s="47"/>
      <c r="H763" s="62"/>
    </row>
    <row r="764">
      <c r="B764" s="47"/>
      <c r="H764" s="62"/>
    </row>
    <row r="765">
      <c r="B765" s="47"/>
      <c r="H765" s="62"/>
    </row>
    <row r="766">
      <c r="B766" s="47"/>
      <c r="H766" s="62"/>
    </row>
    <row r="767">
      <c r="B767" s="47"/>
      <c r="H767" s="62"/>
    </row>
    <row r="768">
      <c r="B768" s="47"/>
      <c r="H768" s="62"/>
    </row>
    <row r="769">
      <c r="B769" s="47"/>
      <c r="H769" s="62"/>
    </row>
    <row r="770">
      <c r="B770" s="47"/>
      <c r="H770" s="62"/>
    </row>
    <row r="771">
      <c r="B771" s="47"/>
      <c r="H771" s="62"/>
    </row>
    <row r="772">
      <c r="B772" s="47"/>
      <c r="H772" s="62"/>
    </row>
    <row r="773">
      <c r="B773" s="47"/>
      <c r="H773" s="62"/>
    </row>
    <row r="774">
      <c r="B774" s="47"/>
      <c r="H774" s="62"/>
    </row>
    <row r="775">
      <c r="B775" s="47"/>
      <c r="H775" s="62"/>
    </row>
    <row r="776">
      <c r="B776" s="47"/>
      <c r="H776" s="62"/>
    </row>
    <row r="777">
      <c r="B777" s="47"/>
      <c r="H777" s="62"/>
    </row>
    <row r="778">
      <c r="B778" s="47"/>
      <c r="H778" s="62"/>
    </row>
    <row r="779">
      <c r="B779" s="47"/>
      <c r="H779" s="62"/>
    </row>
    <row r="780">
      <c r="B780" s="47"/>
      <c r="H780" s="62"/>
    </row>
    <row r="781">
      <c r="B781" s="47"/>
      <c r="H781" s="62"/>
    </row>
    <row r="782">
      <c r="B782" s="47"/>
      <c r="H782" s="62"/>
    </row>
    <row r="783">
      <c r="B783" s="47"/>
      <c r="H783" s="62"/>
    </row>
    <row r="784">
      <c r="B784" s="47"/>
      <c r="H784" s="62"/>
    </row>
    <row r="785">
      <c r="B785" s="47"/>
      <c r="H785" s="62"/>
    </row>
    <row r="786">
      <c r="B786" s="47"/>
      <c r="H786" s="62"/>
    </row>
    <row r="787">
      <c r="B787" s="47"/>
      <c r="H787" s="62"/>
    </row>
    <row r="788">
      <c r="B788" s="47"/>
      <c r="H788" s="62"/>
    </row>
    <row r="789">
      <c r="B789" s="47"/>
      <c r="H789" s="62"/>
    </row>
    <row r="790">
      <c r="B790" s="47"/>
      <c r="H790" s="62"/>
    </row>
    <row r="791">
      <c r="B791" s="47"/>
      <c r="H791" s="62"/>
    </row>
    <row r="792">
      <c r="B792" s="47"/>
      <c r="H792" s="62"/>
    </row>
    <row r="793">
      <c r="B793" s="47"/>
      <c r="H793" s="62"/>
    </row>
    <row r="794">
      <c r="B794" s="47"/>
      <c r="H794" s="62"/>
    </row>
    <row r="795">
      <c r="B795" s="47"/>
      <c r="H795" s="62"/>
    </row>
    <row r="796">
      <c r="B796" s="47"/>
      <c r="H796" s="62"/>
    </row>
    <row r="797">
      <c r="B797" s="47"/>
      <c r="H797" s="62"/>
    </row>
    <row r="798">
      <c r="B798" s="47"/>
      <c r="H798" s="62"/>
    </row>
    <row r="799">
      <c r="B799" s="47"/>
      <c r="H799" s="62"/>
    </row>
    <row r="800">
      <c r="B800" s="47"/>
      <c r="H800" s="62"/>
    </row>
    <row r="801">
      <c r="B801" s="47"/>
      <c r="H801" s="62"/>
    </row>
    <row r="802">
      <c r="B802" s="47"/>
      <c r="H802" s="62"/>
    </row>
    <row r="803">
      <c r="B803" s="47"/>
      <c r="H803" s="62"/>
    </row>
    <row r="804">
      <c r="B804" s="47"/>
      <c r="H804" s="62"/>
    </row>
    <row r="805">
      <c r="B805" s="47"/>
      <c r="H805" s="62"/>
    </row>
    <row r="806">
      <c r="B806" s="47"/>
      <c r="H806" s="62"/>
    </row>
    <row r="807">
      <c r="B807" s="47"/>
      <c r="H807" s="62"/>
    </row>
    <row r="808">
      <c r="B808" s="47"/>
      <c r="H808" s="62"/>
    </row>
    <row r="809">
      <c r="B809" s="47"/>
      <c r="H809" s="62"/>
    </row>
    <row r="810">
      <c r="B810" s="47"/>
      <c r="H810" s="62"/>
    </row>
    <row r="811">
      <c r="B811" s="47"/>
      <c r="H811" s="62"/>
    </row>
    <row r="812">
      <c r="B812" s="47"/>
      <c r="H812" s="62"/>
    </row>
    <row r="813">
      <c r="B813" s="47"/>
      <c r="H813" s="62"/>
    </row>
    <row r="814">
      <c r="B814" s="47"/>
      <c r="H814" s="62"/>
    </row>
    <row r="815">
      <c r="B815" s="47"/>
      <c r="H815" s="62"/>
    </row>
    <row r="816">
      <c r="B816" s="47"/>
      <c r="H816" s="62"/>
    </row>
    <row r="817">
      <c r="B817" s="47"/>
      <c r="H817" s="62"/>
    </row>
    <row r="818">
      <c r="B818" s="47"/>
      <c r="H818" s="62"/>
    </row>
    <row r="819">
      <c r="B819" s="47"/>
      <c r="H819" s="62"/>
    </row>
    <row r="820">
      <c r="B820" s="47"/>
      <c r="H820" s="62"/>
    </row>
    <row r="821">
      <c r="B821" s="47"/>
      <c r="H821" s="62"/>
    </row>
    <row r="822">
      <c r="B822" s="47"/>
      <c r="H822" s="62"/>
    </row>
    <row r="823">
      <c r="B823" s="47"/>
      <c r="H823" s="62"/>
    </row>
    <row r="824">
      <c r="B824" s="47"/>
      <c r="H824" s="62"/>
    </row>
    <row r="825">
      <c r="B825" s="47"/>
      <c r="H825" s="62"/>
    </row>
    <row r="826">
      <c r="B826" s="47"/>
      <c r="H826" s="62"/>
    </row>
    <row r="827">
      <c r="B827" s="47"/>
      <c r="H827" s="62"/>
    </row>
    <row r="828">
      <c r="B828" s="47"/>
      <c r="H828" s="62"/>
    </row>
    <row r="829">
      <c r="B829" s="47"/>
      <c r="H829" s="62"/>
    </row>
    <row r="830">
      <c r="B830" s="47"/>
      <c r="H830" s="62"/>
    </row>
    <row r="831">
      <c r="B831" s="47"/>
      <c r="H831" s="62"/>
    </row>
    <row r="832">
      <c r="B832" s="47"/>
      <c r="H832" s="62"/>
    </row>
    <row r="833">
      <c r="B833" s="47"/>
      <c r="H833" s="62"/>
    </row>
    <row r="834">
      <c r="B834" s="47"/>
      <c r="H834" s="62"/>
    </row>
    <row r="835">
      <c r="B835" s="47"/>
      <c r="H835" s="62"/>
    </row>
    <row r="836">
      <c r="B836" s="47"/>
      <c r="H836" s="62"/>
    </row>
    <row r="837">
      <c r="B837" s="47"/>
      <c r="H837" s="62"/>
    </row>
    <row r="838">
      <c r="B838" s="47"/>
      <c r="H838" s="62"/>
    </row>
    <row r="839">
      <c r="B839" s="47"/>
      <c r="H839" s="62"/>
    </row>
    <row r="840">
      <c r="B840" s="47"/>
      <c r="H840" s="62"/>
    </row>
    <row r="841">
      <c r="B841" s="47"/>
      <c r="H841" s="62"/>
    </row>
    <row r="842">
      <c r="B842" s="47"/>
      <c r="H842" s="62"/>
    </row>
    <row r="843">
      <c r="B843" s="47"/>
      <c r="H843" s="62"/>
    </row>
    <row r="844">
      <c r="B844" s="47"/>
      <c r="H844" s="62"/>
    </row>
    <row r="845">
      <c r="B845" s="47"/>
      <c r="H845" s="62"/>
    </row>
    <row r="846">
      <c r="B846" s="47"/>
      <c r="H846" s="62"/>
    </row>
    <row r="847">
      <c r="B847" s="47"/>
      <c r="H847" s="62"/>
    </row>
    <row r="848">
      <c r="B848" s="47"/>
      <c r="H848" s="62"/>
    </row>
    <row r="849">
      <c r="B849" s="47"/>
      <c r="H849" s="62"/>
    </row>
    <row r="850">
      <c r="B850" s="47"/>
      <c r="H850" s="62"/>
    </row>
    <row r="851">
      <c r="B851" s="47"/>
      <c r="H851" s="62"/>
    </row>
    <row r="852">
      <c r="B852" s="47"/>
      <c r="H852" s="62"/>
    </row>
    <row r="853">
      <c r="B853" s="47"/>
      <c r="H853" s="62"/>
    </row>
    <row r="854">
      <c r="B854" s="47"/>
      <c r="H854" s="62"/>
    </row>
    <row r="855">
      <c r="B855" s="47"/>
      <c r="H855" s="62"/>
    </row>
    <row r="856">
      <c r="B856" s="47"/>
      <c r="H856" s="62"/>
    </row>
    <row r="857">
      <c r="B857" s="47"/>
      <c r="H857" s="62"/>
    </row>
    <row r="858">
      <c r="B858" s="47"/>
      <c r="H858" s="62"/>
    </row>
    <row r="859">
      <c r="B859" s="47"/>
      <c r="H859" s="62"/>
    </row>
    <row r="860">
      <c r="B860" s="47"/>
      <c r="H860" s="62"/>
    </row>
    <row r="861">
      <c r="B861" s="47"/>
      <c r="H861" s="62"/>
    </row>
    <row r="862">
      <c r="B862" s="47"/>
      <c r="H862" s="62"/>
    </row>
    <row r="863">
      <c r="B863" s="47"/>
      <c r="H863" s="62"/>
    </row>
    <row r="864">
      <c r="B864" s="47"/>
      <c r="H864" s="62"/>
    </row>
    <row r="865">
      <c r="B865" s="47"/>
      <c r="H865" s="62"/>
    </row>
    <row r="866">
      <c r="B866" s="47"/>
      <c r="H866" s="62"/>
    </row>
    <row r="867">
      <c r="B867" s="47"/>
      <c r="H867" s="62"/>
    </row>
    <row r="868">
      <c r="B868" s="47"/>
      <c r="H868" s="62"/>
    </row>
    <row r="869">
      <c r="B869" s="47"/>
      <c r="H869" s="62"/>
    </row>
    <row r="870">
      <c r="B870" s="47"/>
      <c r="H870" s="62"/>
    </row>
    <row r="871">
      <c r="B871" s="47"/>
      <c r="H871" s="62"/>
    </row>
    <row r="872">
      <c r="B872" s="47"/>
      <c r="H872" s="62"/>
    </row>
    <row r="873">
      <c r="B873" s="47"/>
      <c r="H873" s="62"/>
    </row>
    <row r="874">
      <c r="B874" s="47"/>
      <c r="H874" s="62"/>
    </row>
    <row r="875">
      <c r="B875" s="47"/>
      <c r="H875" s="62"/>
    </row>
    <row r="876">
      <c r="B876" s="47"/>
      <c r="H876" s="62"/>
    </row>
    <row r="877">
      <c r="B877" s="47"/>
      <c r="H877" s="62"/>
    </row>
    <row r="878">
      <c r="B878" s="47"/>
      <c r="H878" s="62"/>
    </row>
    <row r="879">
      <c r="B879" s="47"/>
      <c r="H879" s="62"/>
    </row>
    <row r="880">
      <c r="B880" s="47"/>
      <c r="H880" s="62"/>
    </row>
    <row r="881">
      <c r="B881" s="47"/>
      <c r="H881" s="62"/>
    </row>
    <row r="882">
      <c r="B882" s="47"/>
      <c r="H882" s="62"/>
    </row>
    <row r="883">
      <c r="B883" s="47"/>
      <c r="H883" s="62"/>
    </row>
    <row r="884">
      <c r="B884" s="47"/>
      <c r="H884" s="62"/>
    </row>
    <row r="885">
      <c r="B885" s="47"/>
      <c r="H885" s="62"/>
    </row>
    <row r="886">
      <c r="B886" s="47"/>
      <c r="H886" s="62"/>
    </row>
    <row r="887">
      <c r="B887" s="47"/>
      <c r="H887" s="62"/>
    </row>
    <row r="888">
      <c r="B888" s="47"/>
      <c r="H888" s="62"/>
    </row>
    <row r="889">
      <c r="B889" s="47"/>
      <c r="H889" s="62"/>
    </row>
    <row r="890">
      <c r="B890" s="47"/>
      <c r="H890" s="62"/>
    </row>
    <row r="891">
      <c r="B891" s="47"/>
      <c r="H891" s="62"/>
    </row>
    <row r="892">
      <c r="B892" s="47"/>
      <c r="H892" s="62"/>
    </row>
    <row r="893">
      <c r="B893" s="47"/>
      <c r="H893" s="62"/>
    </row>
    <row r="894">
      <c r="B894" s="47"/>
      <c r="H894" s="62"/>
    </row>
    <row r="895">
      <c r="B895" s="47"/>
      <c r="H895" s="62"/>
    </row>
    <row r="896">
      <c r="B896" s="47"/>
      <c r="H896" s="62"/>
    </row>
    <row r="897">
      <c r="B897" s="47"/>
      <c r="H897" s="62"/>
    </row>
    <row r="898">
      <c r="B898" s="47"/>
      <c r="H898" s="62"/>
    </row>
    <row r="899">
      <c r="B899" s="47"/>
      <c r="H899" s="62"/>
    </row>
    <row r="900">
      <c r="B900" s="47"/>
      <c r="H900" s="62"/>
    </row>
    <row r="901">
      <c r="B901" s="47"/>
      <c r="H901" s="62"/>
    </row>
    <row r="902">
      <c r="B902" s="47"/>
      <c r="H902" s="62"/>
    </row>
    <row r="903">
      <c r="B903" s="47"/>
      <c r="H903" s="62"/>
    </row>
    <row r="904">
      <c r="B904" s="47"/>
      <c r="H904" s="62"/>
    </row>
    <row r="905">
      <c r="B905" s="47"/>
      <c r="H905" s="62"/>
    </row>
    <row r="906">
      <c r="B906" s="47"/>
      <c r="H906" s="62"/>
    </row>
    <row r="907">
      <c r="B907" s="47"/>
      <c r="H907" s="62"/>
    </row>
    <row r="908">
      <c r="B908" s="47"/>
      <c r="H908" s="62"/>
    </row>
    <row r="909">
      <c r="B909" s="47"/>
      <c r="H909" s="62"/>
    </row>
    <row r="910">
      <c r="B910" s="47"/>
      <c r="H910" s="62"/>
    </row>
    <row r="911">
      <c r="B911" s="47"/>
      <c r="H911" s="62"/>
    </row>
    <row r="912">
      <c r="B912" s="47"/>
      <c r="H912" s="62"/>
    </row>
    <row r="913">
      <c r="B913" s="47"/>
      <c r="H913" s="62"/>
    </row>
    <row r="914">
      <c r="B914" s="47"/>
      <c r="H914" s="62"/>
    </row>
    <row r="915">
      <c r="B915" s="47"/>
      <c r="H915" s="62"/>
    </row>
    <row r="916">
      <c r="B916" s="47"/>
      <c r="H916" s="62"/>
    </row>
    <row r="917">
      <c r="B917" s="47"/>
      <c r="H917" s="62"/>
    </row>
    <row r="918">
      <c r="B918" s="47"/>
      <c r="H918" s="62"/>
    </row>
    <row r="919">
      <c r="B919" s="47"/>
      <c r="H919" s="62"/>
    </row>
    <row r="920">
      <c r="B920" s="47"/>
      <c r="H920" s="62"/>
    </row>
    <row r="921">
      <c r="B921" s="47"/>
      <c r="H921" s="62"/>
    </row>
    <row r="922">
      <c r="B922" s="47"/>
      <c r="H922" s="62"/>
    </row>
    <row r="923">
      <c r="B923" s="47"/>
      <c r="H923" s="62"/>
    </row>
    <row r="924">
      <c r="B924" s="47"/>
      <c r="H924" s="62"/>
    </row>
    <row r="925">
      <c r="B925" s="47"/>
      <c r="H925" s="62"/>
    </row>
  </sheetData>
  <mergeCells count="1">
    <mergeCell ref="C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13"/>
    <col customWidth="1" min="2" max="2" width="13.38"/>
    <col customWidth="1" min="3" max="3" width="53.13"/>
    <col customWidth="1" min="4" max="4" width="22.5"/>
    <col customWidth="1" min="5" max="5" width="52.38"/>
    <col customWidth="1" min="6" max="6" width="9.38"/>
    <col customWidth="1" min="7" max="7" width="16.13"/>
    <col customWidth="1" min="8" max="8" width="25.88"/>
  </cols>
  <sheetData>
    <row r="1">
      <c r="A1" s="1"/>
      <c r="B1" s="63" t="s">
        <v>1</v>
      </c>
      <c r="C1" s="3" t="s">
        <v>348</v>
      </c>
      <c r="G1" s="6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/>
      <c r="B2" s="8"/>
      <c r="C2" s="9"/>
      <c r="D2" s="9"/>
      <c r="E2" s="9"/>
      <c r="F2" s="65"/>
      <c r="G2" s="65"/>
      <c r="H2" s="5"/>
    </row>
    <row r="3">
      <c r="A3" s="66"/>
      <c r="B3" s="67" t="s">
        <v>1</v>
      </c>
      <c r="C3" s="67" t="s">
        <v>2</v>
      </c>
      <c r="D3" s="67" t="s">
        <v>3</v>
      </c>
      <c r="E3" s="67" t="s">
        <v>4</v>
      </c>
      <c r="F3" s="68" t="s">
        <v>5</v>
      </c>
      <c r="G3" s="68" t="s">
        <v>6</v>
      </c>
      <c r="H3" s="69" t="s">
        <v>7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70" t="s">
        <v>349</v>
      </c>
      <c r="B4" s="70" t="s">
        <v>350</v>
      </c>
      <c r="C4" s="71" t="s">
        <v>351</v>
      </c>
      <c r="D4" s="72" t="s">
        <v>352</v>
      </c>
      <c r="E4" s="73" t="s">
        <v>353</v>
      </c>
      <c r="F4" s="74">
        <v>489.0</v>
      </c>
      <c r="G4" s="75">
        <v>1.0</v>
      </c>
      <c r="H4" s="76" t="s">
        <v>354</v>
      </c>
    </row>
    <row r="5">
      <c r="A5" s="70" t="s">
        <v>355</v>
      </c>
      <c r="B5" s="70" t="s">
        <v>356</v>
      </c>
      <c r="C5" s="71" t="s">
        <v>357</v>
      </c>
      <c r="D5" s="72" t="s">
        <v>358</v>
      </c>
      <c r="E5" s="73" t="s">
        <v>359</v>
      </c>
      <c r="F5" s="74">
        <v>344.0</v>
      </c>
      <c r="G5" s="75">
        <v>1.0</v>
      </c>
      <c r="H5" s="76" t="s">
        <v>360</v>
      </c>
    </row>
    <row r="6">
      <c r="A6" s="70" t="s">
        <v>361</v>
      </c>
      <c r="B6" s="70" t="s">
        <v>362</v>
      </c>
      <c r="C6" s="71" t="s">
        <v>363</v>
      </c>
      <c r="D6" s="72" t="s">
        <v>364</v>
      </c>
      <c r="E6" s="73" t="s">
        <v>365</v>
      </c>
      <c r="F6" s="74">
        <v>1981.0</v>
      </c>
      <c r="G6" s="75">
        <v>4.0</v>
      </c>
      <c r="H6" s="76" t="s">
        <v>366</v>
      </c>
    </row>
    <row r="7">
      <c r="A7" s="70" t="s">
        <v>367</v>
      </c>
      <c r="B7" s="70" t="s">
        <v>368</v>
      </c>
      <c r="C7" s="71" t="s">
        <v>369</v>
      </c>
      <c r="D7" s="72" t="s">
        <v>370</v>
      </c>
      <c r="E7" s="73" t="s">
        <v>371</v>
      </c>
      <c r="F7" s="74">
        <v>767.0</v>
      </c>
      <c r="G7" s="75">
        <v>2.0</v>
      </c>
      <c r="H7" s="76" t="s">
        <v>372</v>
      </c>
    </row>
    <row r="8">
      <c r="A8" s="70" t="s">
        <v>373</v>
      </c>
      <c r="B8" s="70" t="s">
        <v>374</v>
      </c>
      <c r="C8" s="71" t="s">
        <v>375</v>
      </c>
      <c r="D8" s="72" t="s">
        <v>376</v>
      </c>
      <c r="E8" s="73" t="s">
        <v>377</v>
      </c>
      <c r="F8" s="74">
        <v>784.0</v>
      </c>
      <c r="G8" s="75">
        <v>2.0</v>
      </c>
      <c r="H8" s="76" t="s">
        <v>378</v>
      </c>
    </row>
    <row r="9">
      <c r="A9" s="70" t="s">
        <v>379</v>
      </c>
      <c r="B9" s="70" t="s">
        <v>380</v>
      </c>
      <c r="C9" s="71" t="s">
        <v>381</v>
      </c>
      <c r="D9" s="72" t="s">
        <v>382</v>
      </c>
      <c r="E9" s="73" t="s">
        <v>383</v>
      </c>
      <c r="F9" s="74">
        <v>790.0</v>
      </c>
      <c r="G9" s="75">
        <v>2.0</v>
      </c>
      <c r="H9" s="76" t="s">
        <v>384</v>
      </c>
    </row>
    <row r="10">
      <c r="A10" s="70" t="s">
        <v>385</v>
      </c>
      <c r="B10" s="70" t="s">
        <v>386</v>
      </c>
      <c r="C10" s="71" t="s">
        <v>387</v>
      </c>
      <c r="D10" s="72" t="s">
        <v>388</v>
      </c>
      <c r="E10" s="73" t="s">
        <v>389</v>
      </c>
      <c r="F10" s="74">
        <v>907.0</v>
      </c>
      <c r="G10" s="77">
        <v>2.0</v>
      </c>
      <c r="H10" s="78" t="s">
        <v>390</v>
      </c>
    </row>
    <row r="11">
      <c r="A11" s="70" t="s">
        <v>391</v>
      </c>
      <c r="B11" s="70" t="s">
        <v>392</v>
      </c>
      <c r="C11" s="71" t="s">
        <v>393</v>
      </c>
      <c r="D11" s="72" t="s">
        <v>394</v>
      </c>
      <c r="E11" s="73" t="s">
        <v>395</v>
      </c>
      <c r="F11" s="74">
        <v>935.0</v>
      </c>
      <c r="G11" s="75">
        <v>2.0</v>
      </c>
      <c r="H11" s="76" t="s">
        <v>396</v>
      </c>
    </row>
    <row r="12">
      <c r="A12" s="79" t="s">
        <v>397</v>
      </c>
      <c r="B12" s="79" t="s">
        <v>398</v>
      </c>
      <c r="C12" s="80" t="s">
        <v>399</v>
      </c>
      <c r="D12" s="81" t="s">
        <v>400</v>
      </c>
      <c r="E12" s="82" t="s">
        <v>401</v>
      </c>
      <c r="F12" s="83">
        <v>230.0</v>
      </c>
      <c r="G12" s="84">
        <v>1.0</v>
      </c>
      <c r="H12" s="85" t="s">
        <v>402</v>
      </c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</row>
    <row r="13">
      <c r="A13" s="70" t="s">
        <v>403</v>
      </c>
      <c r="B13" s="70" t="s">
        <v>404</v>
      </c>
      <c r="C13" s="71" t="s">
        <v>405</v>
      </c>
      <c r="D13" s="72" t="s">
        <v>406</v>
      </c>
      <c r="E13" s="73" t="s">
        <v>407</v>
      </c>
      <c r="F13" s="74">
        <v>885.0</v>
      </c>
      <c r="G13" s="75">
        <v>2.0</v>
      </c>
      <c r="H13" s="76" t="s">
        <v>408</v>
      </c>
    </row>
    <row r="14">
      <c r="A14" s="70" t="s">
        <v>409</v>
      </c>
      <c r="B14" s="70" t="s">
        <v>410</v>
      </c>
      <c r="C14" s="71" t="s">
        <v>411</v>
      </c>
      <c r="D14" s="72" t="s">
        <v>412</v>
      </c>
      <c r="E14" s="73" t="s">
        <v>413</v>
      </c>
      <c r="F14" s="74">
        <v>2567.0</v>
      </c>
      <c r="G14" s="75">
        <v>5.0</v>
      </c>
      <c r="H14" s="76" t="s">
        <v>414</v>
      </c>
    </row>
    <row r="15">
      <c r="A15" s="70" t="s">
        <v>415</v>
      </c>
      <c r="B15" s="70" t="s">
        <v>416</v>
      </c>
      <c r="C15" s="71" t="s">
        <v>417</v>
      </c>
      <c r="D15" s="72" t="s">
        <v>418</v>
      </c>
      <c r="E15" s="73" t="s">
        <v>419</v>
      </c>
      <c r="F15" s="74">
        <v>876.0</v>
      </c>
      <c r="G15" s="75">
        <v>2.0</v>
      </c>
      <c r="H15" s="76" t="s">
        <v>420</v>
      </c>
    </row>
    <row r="16">
      <c r="A16" s="87" t="s">
        <v>421</v>
      </c>
      <c r="B16" s="87" t="s">
        <v>422</v>
      </c>
      <c r="C16" s="80" t="s">
        <v>423</v>
      </c>
      <c r="D16" s="81" t="s">
        <v>424</v>
      </c>
      <c r="E16" s="82" t="s">
        <v>425</v>
      </c>
      <c r="F16" s="83">
        <v>961.0</v>
      </c>
      <c r="G16" s="84">
        <v>2.0</v>
      </c>
      <c r="H16" s="85" t="s">
        <v>426</v>
      </c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</row>
    <row r="17">
      <c r="A17" s="70" t="s">
        <v>427</v>
      </c>
      <c r="B17" s="70" t="s">
        <v>428</v>
      </c>
      <c r="C17" s="71" t="s">
        <v>429</v>
      </c>
      <c r="D17" s="72" t="s">
        <v>430</v>
      </c>
      <c r="E17" s="73" t="s">
        <v>431</v>
      </c>
      <c r="F17" s="74">
        <v>665.0</v>
      </c>
      <c r="G17" s="75">
        <v>2.0</v>
      </c>
      <c r="H17" s="76" t="s">
        <v>432</v>
      </c>
    </row>
    <row r="18">
      <c r="A18" s="70" t="s">
        <v>433</v>
      </c>
      <c r="B18" s="70" t="s">
        <v>434</v>
      </c>
      <c r="C18" s="71" t="s">
        <v>435</v>
      </c>
      <c r="D18" s="72" t="s">
        <v>436</v>
      </c>
      <c r="E18" s="73" t="s">
        <v>437</v>
      </c>
      <c r="F18" s="74">
        <v>517.0</v>
      </c>
      <c r="G18" s="75">
        <v>1.0</v>
      </c>
      <c r="H18" s="76" t="s">
        <v>438</v>
      </c>
    </row>
    <row r="19">
      <c r="A19" s="70" t="s">
        <v>439</v>
      </c>
      <c r="B19" s="70" t="s">
        <v>440</v>
      </c>
      <c r="C19" s="71" t="s">
        <v>441</v>
      </c>
      <c r="D19" s="72" t="s">
        <v>442</v>
      </c>
      <c r="E19" s="73" t="s">
        <v>443</v>
      </c>
      <c r="F19" s="74">
        <v>1331.0</v>
      </c>
      <c r="G19" s="75">
        <v>3.0</v>
      </c>
      <c r="H19" s="76" t="s">
        <v>444</v>
      </c>
    </row>
    <row r="20">
      <c r="A20" s="70" t="s">
        <v>445</v>
      </c>
      <c r="B20" s="70" t="s">
        <v>446</v>
      </c>
      <c r="C20" s="71" t="s">
        <v>447</v>
      </c>
      <c r="D20" s="72" t="s">
        <v>448</v>
      </c>
      <c r="E20" s="73" t="s">
        <v>449</v>
      </c>
      <c r="F20" s="74">
        <v>481.0</v>
      </c>
      <c r="G20" s="75">
        <v>1.0</v>
      </c>
      <c r="H20" s="76" t="s">
        <v>450</v>
      </c>
    </row>
    <row r="21">
      <c r="A21" s="70" t="s">
        <v>451</v>
      </c>
      <c r="B21" s="70" t="s">
        <v>452</v>
      </c>
      <c r="C21" s="71" t="s">
        <v>453</v>
      </c>
      <c r="D21" s="72" t="s">
        <v>454</v>
      </c>
      <c r="E21" s="73" t="s">
        <v>455</v>
      </c>
      <c r="F21" s="74">
        <v>498.0</v>
      </c>
      <c r="G21" s="75">
        <v>1.0</v>
      </c>
      <c r="H21" s="76" t="s">
        <v>456</v>
      </c>
    </row>
    <row r="22">
      <c r="A22" s="70" t="s">
        <v>457</v>
      </c>
      <c r="B22" s="70" t="s">
        <v>458</v>
      </c>
      <c r="C22" s="71" t="s">
        <v>459</v>
      </c>
      <c r="D22" s="72" t="s">
        <v>460</v>
      </c>
      <c r="E22" s="73" t="s">
        <v>461</v>
      </c>
      <c r="F22" s="74">
        <v>692.0</v>
      </c>
      <c r="G22" s="75">
        <v>2.0</v>
      </c>
      <c r="H22" s="76" t="s">
        <v>462</v>
      </c>
    </row>
    <row r="23">
      <c r="A23" s="70" t="s">
        <v>463</v>
      </c>
      <c r="B23" s="70" t="s">
        <v>464</v>
      </c>
      <c r="C23" s="71" t="s">
        <v>465</v>
      </c>
      <c r="D23" s="72" t="s">
        <v>466</v>
      </c>
      <c r="E23" s="73" t="s">
        <v>467</v>
      </c>
      <c r="F23" s="74">
        <v>688.0</v>
      </c>
      <c r="G23" s="75">
        <v>2.0</v>
      </c>
      <c r="H23" s="76" t="s">
        <v>468</v>
      </c>
    </row>
    <row r="24">
      <c r="A24" s="70" t="s">
        <v>469</v>
      </c>
      <c r="B24" s="70" t="s">
        <v>470</v>
      </c>
      <c r="C24" s="71" t="s">
        <v>471</v>
      </c>
      <c r="D24" s="72" t="s">
        <v>472</v>
      </c>
      <c r="E24" s="73" t="s">
        <v>473</v>
      </c>
      <c r="F24" s="74">
        <v>678.0</v>
      </c>
      <c r="G24" s="75">
        <v>2.0</v>
      </c>
      <c r="H24" s="76" t="s">
        <v>474</v>
      </c>
    </row>
    <row r="25">
      <c r="A25" s="70" t="s">
        <v>475</v>
      </c>
      <c r="B25" s="70" t="s">
        <v>476</v>
      </c>
      <c r="C25" s="71" t="s">
        <v>477</v>
      </c>
      <c r="D25" s="72" t="s">
        <v>478</v>
      </c>
      <c r="E25" s="73" t="s">
        <v>479</v>
      </c>
      <c r="F25" s="74">
        <v>865.0</v>
      </c>
      <c r="G25" s="75">
        <v>2.0</v>
      </c>
      <c r="H25" s="76" t="s">
        <v>480</v>
      </c>
    </row>
    <row r="26">
      <c r="A26" s="70" t="s">
        <v>481</v>
      </c>
      <c r="B26" s="70" t="s">
        <v>482</v>
      </c>
      <c r="C26" s="71" t="s">
        <v>483</v>
      </c>
      <c r="D26" s="72" t="s">
        <v>484</v>
      </c>
      <c r="E26" s="73" t="s">
        <v>485</v>
      </c>
      <c r="F26" s="74">
        <v>1245.0</v>
      </c>
      <c r="G26" s="75">
        <v>3.0</v>
      </c>
      <c r="H26" s="76" t="s">
        <v>486</v>
      </c>
    </row>
    <row r="27">
      <c r="A27" s="70" t="s">
        <v>487</v>
      </c>
      <c r="B27" s="70" t="s">
        <v>488</v>
      </c>
      <c r="C27" s="71" t="s">
        <v>489</v>
      </c>
      <c r="D27" s="72" t="s">
        <v>490</v>
      </c>
      <c r="E27" s="73" t="s">
        <v>491</v>
      </c>
      <c r="F27" s="74">
        <v>477.0</v>
      </c>
      <c r="G27" s="75">
        <v>1.0</v>
      </c>
      <c r="H27" s="76" t="s">
        <v>492</v>
      </c>
    </row>
    <row r="28">
      <c r="A28" s="70" t="s">
        <v>493</v>
      </c>
      <c r="B28" s="89"/>
      <c r="C28" s="80"/>
      <c r="D28" s="81"/>
      <c r="E28" s="82"/>
      <c r="F28" s="83"/>
      <c r="G28" s="84"/>
      <c r="H28" s="85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</row>
    <row r="29">
      <c r="A29" s="70" t="s">
        <v>494</v>
      </c>
      <c r="B29" s="70"/>
      <c r="C29" s="71"/>
      <c r="D29" s="72"/>
      <c r="E29" s="73"/>
      <c r="F29" s="74"/>
      <c r="G29" s="75"/>
      <c r="H29" s="76"/>
    </row>
    <row r="30">
      <c r="A30" s="70" t="s">
        <v>495</v>
      </c>
      <c r="B30" s="70"/>
      <c r="C30" s="71"/>
      <c r="D30" s="72"/>
      <c r="E30" s="73"/>
      <c r="F30" s="74"/>
      <c r="G30" s="75"/>
      <c r="H30" s="76"/>
    </row>
    <row r="31">
      <c r="A31" s="70" t="s">
        <v>496</v>
      </c>
      <c r="B31" s="70"/>
      <c r="C31" s="71"/>
      <c r="D31" s="72"/>
      <c r="E31" s="73"/>
      <c r="F31" s="74"/>
      <c r="G31" s="75"/>
      <c r="H31" s="76"/>
    </row>
    <row r="32">
      <c r="A32" s="70" t="s">
        <v>497</v>
      </c>
      <c r="B32" s="70"/>
      <c r="C32" s="71"/>
      <c r="D32" s="72"/>
      <c r="E32" s="73"/>
      <c r="F32" s="74"/>
      <c r="G32" s="75"/>
      <c r="H32" s="76"/>
    </row>
    <row r="33">
      <c r="A33" s="70" t="s">
        <v>498</v>
      </c>
      <c r="B33" s="70"/>
      <c r="C33" s="71"/>
      <c r="D33" s="72"/>
      <c r="E33" s="73"/>
      <c r="F33" s="74"/>
      <c r="G33" s="75"/>
      <c r="H33" s="76"/>
    </row>
    <row r="34">
      <c r="A34" s="91" t="s">
        <v>499</v>
      </c>
      <c r="B34" s="92"/>
      <c r="C34" s="93"/>
      <c r="D34" s="93"/>
      <c r="E34" s="93"/>
      <c r="F34" s="94">
        <f t="shared" ref="F34:G34" si="1">SUM(F4:F33)</f>
        <v>20653</v>
      </c>
      <c r="G34" s="95">
        <f t="shared" si="1"/>
        <v>48</v>
      </c>
      <c r="H34" s="9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</row>
    <row r="35">
      <c r="B35" s="47"/>
      <c r="F35" s="97"/>
      <c r="G35" s="97"/>
      <c r="H35" s="48"/>
    </row>
    <row r="36">
      <c r="B36" s="47"/>
      <c r="F36" s="97"/>
      <c r="G36" s="97"/>
      <c r="H36" s="48"/>
    </row>
    <row r="37">
      <c r="B37" s="47"/>
      <c r="F37" s="97"/>
      <c r="G37" s="97"/>
      <c r="H37" s="48"/>
    </row>
    <row r="38">
      <c r="B38" s="47"/>
      <c r="F38" s="97"/>
      <c r="G38" s="97"/>
      <c r="H38" s="48"/>
    </row>
    <row r="39">
      <c r="B39" s="47"/>
      <c r="F39" s="97"/>
      <c r="G39" s="97"/>
      <c r="H39" s="48"/>
    </row>
    <row r="40">
      <c r="B40" s="47"/>
      <c r="F40" s="97"/>
      <c r="G40" s="97"/>
      <c r="H40" s="48"/>
    </row>
    <row r="41">
      <c r="B41" s="47"/>
      <c r="F41" s="97"/>
      <c r="G41" s="97"/>
      <c r="H41" s="48"/>
    </row>
    <row r="42">
      <c r="B42" s="47"/>
      <c r="F42" s="97"/>
      <c r="G42" s="97"/>
      <c r="H42" s="48"/>
    </row>
    <row r="43">
      <c r="B43" s="47"/>
      <c r="F43" s="97"/>
      <c r="G43" s="97"/>
      <c r="H43" s="48"/>
    </row>
    <row r="44">
      <c r="B44" s="47"/>
      <c r="F44" s="97"/>
      <c r="G44" s="97"/>
      <c r="H44" s="48"/>
    </row>
    <row r="45">
      <c r="B45" s="47"/>
      <c r="F45" s="97"/>
      <c r="G45" s="97"/>
      <c r="H45" s="48"/>
    </row>
    <row r="46">
      <c r="B46" s="47"/>
      <c r="F46" s="97"/>
      <c r="G46" s="97"/>
      <c r="H46" s="48"/>
    </row>
    <row r="47">
      <c r="B47" s="47"/>
      <c r="F47" s="97"/>
      <c r="G47" s="97"/>
      <c r="H47" s="48"/>
    </row>
    <row r="48">
      <c r="B48" s="47"/>
      <c r="F48" s="97"/>
      <c r="G48" s="97"/>
      <c r="H48" s="48"/>
    </row>
    <row r="49">
      <c r="B49" s="47"/>
      <c r="F49" s="97"/>
      <c r="G49" s="97"/>
      <c r="H49" s="48"/>
    </row>
    <row r="50">
      <c r="B50" s="47"/>
      <c r="F50" s="97"/>
      <c r="G50" s="97"/>
      <c r="H50" s="48"/>
    </row>
    <row r="51">
      <c r="B51" s="47"/>
      <c r="F51" s="97"/>
      <c r="G51" s="97"/>
      <c r="H51" s="48"/>
    </row>
    <row r="52">
      <c r="B52" s="47"/>
      <c r="F52" s="97"/>
      <c r="G52" s="97"/>
      <c r="H52" s="48"/>
    </row>
    <row r="53">
      <c r="B53" s="47"/>
      <c r="F53" s="97"/>
      <c r="G53" s="97"/>
      <c r="H53" s="48"/>
    </row>
    <row r="54">
      <c r="B54" s="47"/>
      <c r="F54" s="97"/>
      <c r="G54" s="97"/>
      <c r="H54" s="48"/>
    </row>
    <row r="55">
      <c r="B55" s="47"/>
      <c r="F55" s="97"/>
      <c r="G55" s="97"/>
      <c r="H55" s="48"/>
    </row>
    <row r="56">
      <c r="B56" s="47"/>
      <c r="F56" s="97"/>
      <c r="G56" s="97"/>
      <c r="H56" s="48"/>
    </row>
    <row r="57">
      <c r="B57" s="47"/>
      <c r="F57" s="97"/>
      <c r="G57" s="97"/>
      <c r="H57" s="48"/>
    </row>
    <row r="58">
      <c r="B58" s="47"/>
      <c r="F58" s="97"/>
      <c r="G58" s="97"/>
      <c r="H58" s="48"/>
    </row>
    <row r="59">
      <c r="B59" s="47"/>
      <c r="F59" s="97"/>
      <c r="G59" s="97"/>
      <c r="H59" s="48"/>
    </row>
    <row r="60">
      <c r="B60" s="47"/>
      <c r="F60" s="97"/>
      <c r="G60" s="97"/>
      <c r="H60" s="48"/>
    </row>
    <row r="61">
      <c r="B61" s="47"/>
      <c r="F61" s="97"/>
      <c r="G61" s="97"/>
      <c r="H61" s="48"/>
    </row>
    <row r="62">
      <c r="B62" s="47"/>
      <c r="F62" s="97"/>
      <c r="G62" s="97"/>
      <c r="H62" s="48"/>
    </row>
    <row r="63">
      <c r="B63" s="47"/>
      <c r="F63" s="97"/>
      <c r="G63" s="97"/>
      <c r="H63" s="48"/>
    </row>
    <row r="64">
      <c r="B64" s="47"/>
      <c r="F64" s="97"/>
      <c r="G64" s="97"/>
      <c r="H64" s="48"/>
    </row>
    <row r="65">
      <c r="B65" s="47"/>
      <c r="F65" s="97"/>
      <c r="G65" s="97"/>
      <c r="H65" s="48"/>
    </row>
    <row r="66">
      <c r="B66" s="47"/>
      <c r="F66" s="97"/>
      <c r="G66" s="97"/>
      <c r="H66" s="48"/>
    </row>
    <row r="67">
      <c r="B67" s="47"/>
      <c r="F67" s="97"/>
      <c r="G67" s="97"/>
      <c r="H67" s="48"/>
    </row>
    <row r="68">
      <c r="B68" s="47"/>
      <c r="F68" s="97"/>
      <c r="G68" s="97"/>
      <c r="H68" s="48"/>
    </row>
    <row r="69">
      <c r="B69" s="47"/>
      <c r="F69" s="97"/>
      <c r="G69" s="97"/>
      <c r="H69" s="48"/>
    </row>
    <row r="70">
      <c r="B70" s="47"/>
      <c r="F70" s="97"/>
      <c r="G70" s="97"/>
      <c r="H70" s="48"/>
    </row>
    <row r="71">
      <c r="B71" s="47"/>
      <c r="F71" s="97"/>
      <c r="G71" s="97"/>
      <c r="H71" s="48"/>
    </row>
    <row r="72">
      <c r="B72" s="47"/>
      <c r="F72" s="97"/>
      <c r="G72" s="97"/>
      <c r="H72" s="48"/>
    </row>
    <row r="73">
      <c r="B73" s="47"/>
      <c r="F73" s="97"/>
      <c r="G73" s="97"/>
      <c r="H73" s="48"/>
    </row>
    <row r="74">
      <c r="B74" s="47"/>
      <c r="F74" s="97"/>
      <c r="G74" s="97"/>
      <c r="H74" s="48"/>
    </row>
    <row r="75">
      <c r="B75" s="47"/>
      <c r="F75" s="97"/>
      <c r="G75" s="97"/>
      <c r="H75" s="48"/>
    </row>
    <row r="76">
      <c r="B76" s="47"/>
      <c r="F76" s="97"/>
      <c r="G76" s="97"/>
      <c r="H76" s="48"/>
    </row>
    <row r="77">
      <c r="B77" s="47"/>
      <c r="F77" s="97"/>
      <c r="G77" s="97"/>
      <c r="H77" s="48"/>
    </row>
    <row r="78">
      <c r="B78" s="47"/>
      <c r="F78" s="97"/>
      <c r="G78" s="97"/>
      <c r="H78" s="48"/>
    </row>
    <row r="79">
      <c r="B79" s="47"/>
      <c r="F79" s="97"/>
      <c r="G79" s="97"/>
      <c r="H79" s="48"/>
    </row>
    <row r="80">
      <c r="B80" s="47"/>
      <c r="F80" s="97"/>
      <c r="G80" s="97"/>
      <c r="H80" s="48"/>
    </row>
    <row r="81">
      <c r="B81" s="47"/>
      <c r="F81" s="97"/>
      <c r="G81" s="97"/>
      <c r="H81" s="48"/>
    </row>
    <row r="82">
      <c r="B82" s="47"/>
      <c r="F82" s="97"/>
      <c r="G82" s="97"/>
      <c r="H82" s="48"/>
    </row>
    <row r="83">
      <c r="B83" s="47"/>
      <c r="F83" s="97"/>
      <c r="G83" s="97"/>
      <c r="H83" s="48"/>
    </row>
    <row r="84">
      <c r="B84" s="47"/>
      <c r="F84" s="97"/>
      <c r="G84" s="97"/>
      <c r="H84" s="48"/>
    </row>
    <row r="85">
      <c r="B85" s="47"/>
      <c r="F85" s="97"/>
      <c r="G85" s="97"/>
      <c r="H85" s="48"/>
    </row>
    <row r="86">
      <c r="B86" s="47"/>
      <c r="F86" s="97"/>
      <c r="G86" s="97"/>
      <c r="H86" s="48"/>
    </row>
    <row r="87">
      <c r="B87" s="47"/>
      <c r="F87" s="97"/>
      <c r="G87" s="97"/>
      <c r="H87" s="48"/>
    </row>
    <row r="88">
      <c r="B88" s="47"/>
      <c r="F88" s="97"/>
      <c r="G88" s="97"/>
      <c r="H88" s="48"/>
    </row>
    <row r="89">
      <c r="B89" s="47"/>
      <c r="F89" s="97"/>
      <c r="G89" s="97"/>
      <c r="H89" s="48"/>
    </row>
    <row r="90">
      <c r="B90" s="47"/>
      <c r="F90" s="97"/>
      <c r="G90" s="97"/>
      <c r="H90" s="48"/>
    </row>
    <row r="91">
      <c r="B91" s="47"/>
      <c r="F91" s="97"/>
      <c r="G91" s="97"/>
      <c r="H91" s="48"/>
    </row>
    <row r="92">
      <c r="B92" s="47"/>
      <c r="F92" s="97"/>
      <c r="G92" s="97"/>
      <c r="H92" s="48"/>
    </row>
    <row r="93">
      <c r="B93" s="47"/>
      <c r="F93" s="97"/>
      <c r="G93" s="97"/>
      <c r="H93" s="48"/>
    </row>
    <row r="94">
      <c r="B94" s="47"/>
      <c r="F94" s="97"/>
      <c r="G94" s="97"/>
      <c r="H94" s="48"/>
    </row>
    <row r="95">
      <c r="B95" s="47"/>
      <c r="F95" s="97"/>
      <c r="G95" s="97"/>
      <c r="H95" s="48"/>
    </row>
    <row r="96">
      <c r="B96" s="47"/>
      <c r="F96" s="97"/>
      <c r="G96" s="97"/>
      <c r="H96" s="48"/>
    </row>
    <row r="97">
      <c r="B97" s="47"/>
      <c r="F97" s="97"/>
      <c r="G97" s="97"/>
      <c r="H97" s="48"/>
    </row>
    <row r="98">
      <c r="B98" s="47"/>
      <c r="F98" s="97"/>
      <c r="G98" s="97"/>
      <c r="H98" s="48"/>
    </row>
    <row r="99">
      <c r="B99" s="47"/>
      <c r="F99" s="97"/>
      <c r="G99" s="97"/>
      <c r="H99" s="48"/>
    </row>
    <row r="100">
      <c r="B100" s="47"/>
      <c r="F100" s="97"/>
      <c r="G100" s="97"/>
      <c r="H100" s="48"/>
    </row>
    <row r="101">
      <c r="B101" s="47"/>
      <c r="F101" s="97"/>
      <c r="G101" s="97"/>
      <c r="H101" s="48"/>
    </row>
    <row r="102">
      <c r="B102" s="47"/>
      <c r="F102" s="97"/>
      <c r="G102" s="97"/>
      <c r="H102" s="48"/>
    </row>
    <row r="103">
      <c r="B103" s="47"/>
      <c r="F103" s="97"/>
      <c r="G103" s="97"/>
      <c r="H103" s="48"/>
    </row>
    <row r="104">
      <c r="B104" s="47"/>
      <c r="F104" s="97"/>
      <c r="G104" s="97"/>
      <c r="H104" s="48"/>
    </row>
    <row r="105">
      <c r="B105" s="47"/>
      <c r="F105" s="97"/>
      <c r="G105" s="97"/>
      <c r="H105" s="48"/>
    </row>
    <row r="106">
      <c r="B106" s="47"/>
      <c r="F106" s="97"/>
      <c r="G106" s="97"/>
      <c r="H106" s="48"/>
    </row>
    <row r="107">
      <c r="B107" s="47"/>
      <c r="F107" s="97"/>
      <c r="G107" s="97"/>
      <c r="H107" s="48"/>
    </row>
    <row r="108">
      <c r="B108" s="47"/>
      <c r="F108" s="97"/>
      <c r="G108" s="97"/>
      <c r="H108" s="48"/>
    </row>
    <row r="109">
      <c r="B109" s="47"/>
      <c r="F109" s="97"/>
      <c r="G109" s="97"/>
      <c r="H109" s="48"/>
    </row>
    <row r="110">
      <c r="B110" s="47"/>
      <c r="F110" s="97"/>
      <c r="G110" s="97"/>
      <c r="H110" s="48"/>
    </row>
    <row r="111">
      <c r="B111" s="47"/>
      <c r="F111" s="97"/>
      <c r="G111" s="97"/>
      <c r="H111" s="48"/>
    </row>
    <row r="112">
      <c r="B112" s="47"/>
      <c r="F112" s="97"/>
      <c r="G112" s="97"/>
      <c r="H112" s="48"/>
    </row>
    <row r="113">
      <c r="B113" s="47"/>
      <c r="F113" s="97"/>
      <c r="G113" s="97"/>
      <c r="H113" s="48"/>
    </row>
    <row r="114">
      <c r="B114" s="47"/>
      <c r="F114" s="97"/>
      <c r="G114" s="97"/>
      <c r="H114" s="48"/>
    </row>
    <row r="115">
      <c r="B115" s="47"/>
      <c r="F115" s="97"/>
      <c r="G115" s="97"/>
      <c r="H115" s="48"/>
    </row>
    <row r="116">
      <c r="B116" s="47"/>
      <c r="F116" s="97"/>
      <c r="G116" s="97"/>
      <c r="H116" s="48"/>
    </row>
    <row r="117">
      <c r="B117" s="47"/>
      <c r="F117" s="97"/>
      <c r="G117" s="97"/>
      <c r="H117" s="48"/>
    </row>
    <row r="118">
      <c r="B118" s="47"/>
      <c r="F118" s="97"/>
      <c r="G118" s="97"/>
      <c r="H118" s="48"/>
    </row>
    <row r="119">
      <c r="B119" s="47"/>
      <c r="F119" s="97"/>
      <c r="G119" s="97"/>
      <c r="H119" s="48"/>
    </row>
    <row r="120">
      <c r="B120" s="47"/>
      <c r="F120" s="97"/>
      <c r="G120" s="97"/>
      <c r="H120" s="48"/>
    </row>
    <row r="121">
      <c r="B121" s="47"/>
      <c r="F121" s="97"/>
      <c r="G121" s="97"/>
      <c r="H121" s="48"/>
    </row>
    <row r="122">
      <c r="B122" s="47"/>
      <c r="F122" s="97"/>
      <c r="G122" s="97"/>
      <c r="H122" s="48"/>
    </row>
    <row r="123">
      <c r="B123" s="47"/>
      <c r="F123" s="97"/>
      <c r="G123" s="97"/>
      <c r="H123" s="48"/>
    </row>
    <row r="124">
      <c r="B124" s="47"/>
      <c r="F124" s="97"/>
      <c r="G124" s="97"/>
      <c r="H124" s="48"/>
    </row>
    <row r="125">
      <c r="B125" s="47"/>
      <c r="F125" s="97"/>
      <c r="G125" s="97"/>
      <c r="H125" s="48"/>
    </row>
    <row r="126">
      <c r="B126" s="47"/>
      <c r="F126" s="97"/>
      <c r="G126" s="97"/>
      <c r="H126" s="48"/>
    </row>
    <row r="127">
      <c r="B127" s="47"/>
      <c r="F127" s="97"/>
      <c r="G127" s="97"/>
      <c r="H127" s="48"/>
    </row>
    <row r="128">
      <c r="B128" s="47"/>
      <c r="F128" s="97"/>
      <c r="G128" s="97"/>
      <c r="H128" s="48"/>
    </row>
    <row r="129">
      <c r="B129" s="47"/>
      <c r="F129" s="97"/>
      <c r="G129" s="97"/>
      <c r="H129" s="48"/>
    </row>
    <row r="130">
      <c r="B130" s="47"/>
      <c r="F130" s="97"/>
      <c r="G130" s="97"/>
      <c r="H130" s="48"/>
    </row>
    <row r="131">
      <c r="B131" s="47"/>
      <c r="F131" s="97"/>
      <c r="G131" s="97"/>
      <c r="H131" s="48"/>
    </row>
    <row r="132">
      <c r="B132" s="47"/>
      <c r="F132" s="97"/>
      <c r="G132" s="97"/>
      <c r="H132" s="48"/>
    </row>
    <row r="133">
      <c r="B133" s="47"/>
      <c r="F133" s="97"/>
      <c r="G133" s="97"/>
      <c r="H133" s="48"/>
    </row>
    <row r="134">
      <c r="B134" s="47"/>
      <c r="F134" s="97"/>
      <c r="G134" s="97"/>
      <c r="H134" s="48"/>
    </row>
    <row r="135">
      <c r="B135" s="47"/>
      <c r="F135" s="97"/>
      <c r="G135" s="97"/>
      <c r="H135" s="48"/>
    </row>
    <row r="136">
      <c r="B136" s="47"/>
      <c r="F136" s="97"/>
      <c r="G136" s="97"/>
      <c r="H136" s="48"/>
    </row>
    <row r="137">
      <c r="B137" s="47"/>
      <c r="F137" s="97"/>
      <c r="G137" s="97"/>
      <c r="H137" s="48"/>
    </row>
    <row r="138">
      <c r="B138" s="47"/>
      <c r="F138" s="97"/>
      <c r="G138" s="97"/>
      <c r="H138" s="48"/>
    </row>
    <row r="139">
      <c r="B139" s="47"/>
      <c r="F139" s="97"/>
      <c r="G139" s="97"/>
      <c r="H139" s="48"/>
    </row>
    <row r="140">
      <c r="B140" s="47"/>
      <c r="F140" s="97"/>
      <c r="G140" s="97"/>
      <c r="H140" s="48"/>
    </row>
    <row r="141">
      <c r="B141" s="47"/>
      <c r="F141" s="97"/>
      <c r="G141" s="97"/>
      <c r="H141" s="48"/>
    </row>
    <row r="142">
      <c r="B142" s="47"/>
      <c r="F142" s="97"/>
      <c r="G142" s="97"/>
      <c r="H142" s="48"/>
    </row>
    <row r="143">
      <c r="B143" s="47"/>
      <c r="F143" s="97"/>
      <c r="G143" s="97"/>
      <c r="H143" s="48"/>
    </row>
    <row r="144">
      <c r="B144" s="47"/>
      <c r="F144" s="97"/>
      <c r="G144" s="97"/>
      <c r="H144" s="48"/>
    </row>
    <row r="145">
      <c r="B145" s="47"/>
      <c r="F145" s="97"/>
      <c r="G145" s="97"/>
      <c r="H145" s="48"/>
    </row>
    <row r="146">
      <c r="B146" s="47"/>
      <c r="F146" s="97"/>
      <c r="G146" s="97"/>
      <c r="H146" s="48"/>
    </row>
    <row r="147">
      <c r="B147" s="47"/>
      <c r="F147" s="97"/>
      <c r="G147" s="97"/>
      <c r="H147" s="48"/>
    </row>
    <row r="148">
      <c r="B148" s="47"/>
      <c r="F148" s="97"/>
      <c r="G148" s="97"/>
      <c r="H148" s="48"/>
    </row>
    <row r="149">
      <c r="B149" s="47"/>
      <c r="F149" s="97"/>
      <c r="G149" s="97"/>
      <c r="H149" s="48"/>
    </row>
    <row r="150">
      <c r="B150" s="47"/>
      <c r="F150" s="97"/>
      <c r="G150" s="97"/>
      <c r="H150" s="48"/>
    </row>
    <row r="151">
      <c r="B151" s="47"/>
      <c r="F151" s="97"/>
      <c r="G151" s="97"/>
      <c r="H151" s="48"/>
    </row>
    <row r="152">
      <c r="B152" s="47"/>
      <c r="F152" s="97"/>
      <c r="G152" s="97"/>
      <c r="H152" s="48"/>
    </row>
    <row r="153">
      <c r="B153" s="47"/>
      <c r="F153" s="97"/>
      <c r="G153" s="97"/>
      <c r="H153" s="48"/>
    </row>
    <row r="154">
      <c r="B154" s="47"/>
      <c r="F154" s="97"/>
      <c r="G154" s="97"/>
      <c r="H154" s="48"/>
    </row>
    <row r="155">
      <c r="B155" s="47"/>
      <c r="F155" s="97"/>
      <c r="G155" s="97"/>
      <c r="H155" s="48"/>
    </row>
    <row r="156">
      <c r="B156" s="47"/>
      <c r="F156" s="97"/>
      <c r="G156" s="97"/>
      <c r="H156" s="48"/>
    </row>
    <row r="157">
      <c r="B157" s="47"/>
      <c r="F157" s="97"/>
      <c r="G157" s="97"/>
      <c r="H157" s="48"/>
    </row>
    <row r="158">
      <c r="B158" s="47"/>
      <c r="F158" s="97"/>
      <c r="G158" s="97"/>
      <c r="H158" s="48"/>
    </row>
    <row r="159">
      <c r="B159" s="47"/>
      <c r="F159" s="97"/>
      <c r="G159" s="97"/>
      <c r="H159" s="48"/>
    </row>
    <row r="160">
      <c r="B160" s="47"/>
      <c r="F160" s="97"/>
      <c r="G160" s="97"/>
      <c r="H160" s="48"/>
    </row>
    <row r="161">
      <c r="B161" s="47"/>
      <c r="F161" s="97"/>
      <c r="G161" s="97"/>
      <c r="H161" s="48"/>
    </row>
    <row r="162">
      <c r="B162" s="47"/>
      <c r="F162" s="97"/>
      <c r="G162" s="97"/>
      <c r="H162" s="48"/>
    </row>
    <row r="163">
      <c r="B163" s="47"/>
      <c r="F163" s="97"/>
      <c r="G163" s="97"/>
      <c r="H163" s="48"/>
    </row>
    <row r="164">
      <c r="B164" s="47"/>
      <c r="F164" s="97"/>
      <c r="G164" s="97"/>
      <c r="H164" s="48"/>
    </row>
    <row r="165">
      <c r="B165" s="47"/>
      <c r="F165" s="97"/>
      <c r="G165" s="97"/>
      <c r="H165" s="48"/>
    </row>
    <row r="166">
      <c r="B166" s="47"/>
      <c r="F166" s="97"/>
      <c r="G166" s="97"/>
      <c r="H166" s="48"/>
    </row>
    <row r="167">
      <c r="B167" s="47"/>
      <c r="F167" s="97"/>
      <c r="G167" s="97"/>
      <c r="H167" s="48"/>
    </row>
    <row r="168">
      <c r="B168" s="47"/>
      <c r="F168" s="97"/>
      <c r="G168" s="97"/>
      <c r="H168" s="48"/>
    </row>
    <row r="169">
      <c r="B169" s="47"/>
      <c r="F169" s="97"/>
      <c r="G169" s="97"/>
      <c r="H169" s="48"/>
    </row>
    <row r="170">
      <c r="B170" s="47"/>
      <c r="F170" s="97"/>
      <c r="G170" s="97"/>
      <c r="H170" s="48"/>
    </row>
    <row r="171">
      <c r="B171" s="47"/>
      <c r="F171" s="97"/>
      <c r="G171" s="97"/>
      <c r="H171" s="48"/>
    </row>
    <row r="172">
      <c r="B172" s="47"/>
      <c r="F172" s="97"/>
      <c r="G172" s="97"/>
      <c r="H172" s="48"/>
    </row>
    <row r="173">
      <c r="B173" s="47"/>
      <c r="F173" s="97"/>
      <c r="G173" s="97"/>
      <c r="H173" s="48"/>
    </row>
    <row r="174">
      <c r="B174" s="47"/>
      <c r="F174" s="97"/>
      <c r="G174" s="97"/>
      <c r="H174" s="48"/>
    </row>
    <row r="175">
      <c r="B175" s="47"/>
      <c r="F175" s="97"/>
      <c r="G175" s="97"/>
      <c r="H175" s="48"/>
    </row>
    <row r="176">
      <c r="B176" s="47"/>
      <c r="F176" s="97"/>
      <c r="G176" s="97"/>
      <c r="H176" s="48"/>
    </row>
    <row r="177">
      <c r="B177" s="47"/>
      <c r="F177" s="97"/>
      <c r="G177" s="97"/>
      <c r="H177" s="48"/>
    </row>
    <row r="178">
      <c r="B178" s="47"/>
      <c r="F178" s="97"/>
      <c r="G178" s="97"/>
      <c r="H178" s="48"/>
    </row>
    <row r="179">
      <c r="B179" s="47"/>
      <c r="F179" s="97"/>
      <c r="G179" s="97"/>
      <c r="H179" s="48"/>
    </row>
    <row r="180">
      <c r="B180" s="47"/>
      <c r="F180" s="97"/>
      <c r="G180" s="97"/>
      <c r="H180" s="48"/>
    </row>
    <row r="181">
      <c r="B181" s="47"/>
      <c r="F181" s="97"/>
      <c r="G181" s="97"/>
      <c r="H181" s="48"/>
    </row>
    <row r="182">
      <c r="B182" s="47"/>
      <c r="F182" s="97"/>
      <c r="G182" s="97"/>
      <c r="H182" s="48"/>
    </row>
    <row r="183">
      <c r="B183" s="47"/>
      <c r="F183" s="97"/>
      <c r="G183" s="97"/>
      <c r="H183" s="48"/>
    </row>
    <row r="184">
      <c r="B184" s="47"/>
      <c r="F184" s="97"/>
      <c r="G184" s="97"/>
      <c r="H184" s="48"/>
    </row>
    <row r="185">
      <c r="B185" s="47"/>
      <c r="F185" s="97"/>
      <c r="G185" s="97"/>
      <c r="H185" s="48"/>
    </row>
    <row r="186">
      <c r="B186" s="47"/>
      <c r="F186" s="97"/>
      <c r="G186" s="97"/>
      <c r="H186" s="48"/>
    </row>
    <row r="187">
      <c r="B187" s="47"/>
      <c r="F187" s="97"/>
      <c r="G187" s="97"/>
      <c r="H187" s="48"/>
    </row>
    <row r="188">
      <c r="B188" s="47"/>
      <c r="F188" s="97"/>
      <c r="G188" s="97"/>
      <c r="H188" s="48"/>
    </row>
    <row r="189">
      <c r="B189" s="47"/>
      <c r="F189" s="97"/>
      <c r="G189" s="97"/>
      <c r="H189" s="48"/>
    </row>
    <row r="190">
      <c r="B190" s="47"/>
      <c r="F190" s="97"/>
      <c r="G190" s="97"/>
      <c r="H190" s="48"/>
    </row>
    <row r="191">
      <c r="B191" s="47"/>
      <c r="F191" s="97"/>
      <c r="G191" s="97"/>
      <c r="H191" s="48"/>
    </row>
    <row r="192">
      <c r="B192" s="47"/>
      <c r="F192" s="97"/>
      <c r="G192" s="97"/>
      <c r="H192" s="48"/>
    </row>
    <row r="193">
      <c r="B193" s="47"/>
      <c r="F193" s="97"/>
      <c r="G193" s="97"/>
      <c r="H193" s="48"/>
    </row>
    <row r="194">
      <c r="B194" s="47"/>
      <c r="F194" s="97"/>
      <c r="G194" s="97"/>
      <c r="H194" s="48"/>
    </row>
    <row r="195">
      <c r="B195" s="47"/>
      <c r="F195" s="97"/>
      <c r="G195" s="97"/>
      <c r="H195" s="48"/>
    </row>
    <row r="196">
      <c r="B196" s="47"/>
      <c r="F196" s="97"/>
      <c r="G196" s="97"/>
      <c r="H196" s="48"/>
    </row>
    <row r="197">
      <c r="B197" s="47"/>
      <c r="F197" s="97"/>
      <c r="G197" s="97"/>
      <c r="H197" s="48"/>
    </row>
    <row r="198">
      <c r="B198" s="47"/>
      <c r="F198" s="97"/>
      <c r="G198" s="97"/>
      <c r="H198" s="48"/>
    </row>
    <row r="199">
      <c r="B199" s="47"/>
      <c r="F199" s="97"/>
      <c r="G199" s="97"/>
      <c r="H199" s="48"/>
    </row>
    <row r="200">
      <c r="B200" s="47"/>
      <c r="F200" s="97"/>
      <c r="G200" s="97"/>
      <c r="H200" s="48"/>
    </row>
    <row r="201">
      <c r="B201" s="47"/>
      <c r="F201" s="97"/>
      <c r="G201" s="97"/>
      <c r="H201" s="48"/>
    </row>
    <row r="202">
      <c r="B202" s="47"/>
      <c r="F202" s="97"/>
      <c r="G202" s="97"/>
      <c r="H202" s="48"/>
    </row>
    <row r="203">
      <c r="B203" s="47"/>
      <c r="F203" s="97"/>
      <c r="G203" s="97"/>
      <c r="H203" s="48"/>
    </row>
    <row r="204">
      <c r="B204" s="47"/>
      <c r="F204" s="97"/>
      <c r="G204" s="97"/>
      <c r="H204" s="48"/>
    </row>
    <row r="205">
      <c r="B205" s="47"/>
      <c r="F205" s="97"/>
      <c r="G205" s="97"/>
      <c r="H205" s="48"/>
    </row>
    <row r="206">
      <c r="B206" s="47"/>
      <c r="F206" s="97"/>
      <c r="G206" s="97"/>
      <c r="H206" s="48"/>
    </row>
    <row r="207">
      <c r="B207" s="47"/>
      <c r="F207" s="97"/>
      <c r="G207" s="97"/>
      <c r="H207" s="48"/>
    </row>
    <row r="208">
      <c r="B208" s="47"/>
      <c r="F208" s="97"/>
      <c r="G208" s="97"/>
      <c r="H208" s="48"/>
    </row>
    <row r="209">
      <c r="B209" s="47"/>
      <c r="F209" s="97"/>
      <c r="G209" s="97"/>
      <c r="H209" s="48"/>
    </row>
    <row r="210">
      <c r="B210" s="47"/>
      <c r="F210" s="97"/>
      <c r="G210" s="97"/>
      <c r="H210" s="48"/>
    </row>
    <row r="211">
      <c r="B211" s="47"/>
      <c r="F211" s="97"/>
      <c r="G211" s="97"/>
      <c r="H211" s="48"/>
    </row>
    <row r="212">
      <c r="B212" s="47"/>
      <c r="F212" s="97"/>
      <c r="G212" s="97"/>
      <c r="H212" s="48"/>
    </row>
    <row r="213">
      <c r="B213" s="47"/>
      <c r="F213" s="97"/>
      <c r="G213" s="97"/>
      <c r="H213" s="48"/>
    </row>
    <row r="214">
      <c r="B214" s="47"/>
      <c r="F214" s="97"/>
      <c r="G214" s="97"/>
      <c r="H214" s="48"/>
    </row>
    <row r="215">
      <c r="B215" s="47"/>
      <c r="F215" s="97"/>
      <c r="G215" s="97"/>
      <c r="H215" s="48"/>
    </row>
    <row r="216">
      <c r="B216" s="47"/>
      <c r="F216" s="97"/>
      <c r="G216" s="97"/>
      <c r="H216" s="48"/>
    </row>
    <row r="217">
      <c r="B217" s="47"/>
      <c r="F217" s="97"/>
      <c r="G217" s="97"/>
      <c r="H217" s="48"/>
    </row>
    <row r="218">
      <c r="B218" s="47"/>
      <c r="F218" s="97"/>
      <c r="G218" s="97"/>
      <c r="H218" s="48"/>
    </row>
    <row r="219">
      <c r="B219" s="47"/>
      <c r="F219" s="97"/>
      <c r="G219" s="97"/>
      <c r="H219" s="48"/>
    </row>
    <row r="220">
      <c r="B220" s="47"/>
      <c r="F220" s="97"/>
      <c r="G220" s="97"/>
      <c r="H220" s="48"/>
    </row>
    <row r="221">
      <c r="B221" s="47"/>
      <c r="F221" s="97"/>
      <c r="G221" s="97"/>
      <c r="H221" s="48"/>
    </row>
    <row r="222">
      <c r="B222" s="47"/>
      <c r="F222" s="97"/>
      <c r="G222" s="97"/>
      <c r="H222" s="48"/>
    </row>
    <row r="223">
      <c r="B223" s="47"/>
      <c r="F223" s="97"/>
      <c r="G223" s="97"/>
      <c r="H223" s="48"/>
    </row>
    <row r="224">
      <c r="B224" s="47"/>
      <c r="F224" s="97"/>
      <c r="G224" s="97"/>
      <c r="H224" s="48"/>
    </row>
    <row r="225">
      <c r="B225" s="47"/>
      <c r="F225" s="97"/>
      <c r="G225" s="97"/>
      <c r="H225" s="48"/>
    </row>
    <row r="226">
      <c r="B226" s="47"/>
      <c r="F226" s="97"/>
      <c r="G226" s="97"/>
      <c r="H226" s="48"/>
    </row>
    <row r="227">
      <c r="B227" s="47"/>
      <c r="F227" s="97"/>
      <c r="G227" s="97"/>
      <c r="H227" s="48"/>
    </row>
    <row r="228">
      <c r="B228" s="47"/>
      <c r="F228" s="97"/>
      <c r="G228" s="97"/>
      <c r="H228" s="48"/>
    </row>
    <row r="229">
      <c r="B229" s="47"/>
      <c r="F229" s="97"/>
      <c r="G229" s="97"/>
      <c r="H229" s="48"/>
    </row>
    <row r="230">
      <c r="B230" s="47"/>
      <c r="F230" s="97"/>
      <c r="G230" s="97"/>
      <c r="H230" s="48"/>
    </row>
    <row r="231">
      <c r="B231" s="47"/>
      <c r="F231" s="97"/>
      <c r="G231" s="97"/>
      <c r="H231" s="48"/>
    </row>
    <row r="232">
      <c r="B232" s="47"/>
      <c r="F232" s="97"/>
      <c r="G232" s="97"/>
      <c r="H232" s="48"/>
    </row>
    <row r="233">
      <c r="B233" s="47"/>
      <c r="F233" s="97"/>
      <c r="G233" s="97"/>
      <c r="H233" s="48"/>
    </row>
    <row r="234">
      <c r="B234" s="47"/>
      <c r="F234" s="97"/>
      <c r="G234" s="97"/>
      <c r="H234" s="48"/>
    </row>
    <row r="235">
      <c r="B235" s="47"/>
      <c r="F235" s="97"/>
      <c r="G235" s="97"/>
      <c r="H235" s="48"/>
    </row>
    <row r="236">
      <c r="B236" s="47"/>
      <c r="F236" s="97"/>
      <c r="G236" s="97"/>
      <c r="H236" s="48"/>
    </row>
    <row r="237">
      <c r="B237" s="47"/>
      <c r="F237" s="97"/>
      <c r="G237" s="97"/>
      <c r="H237" s="48"/>
    </row>
    <row r="238">
      <c r="B238" s="47"/>
      <c r="F238" s="97"/>
      <c r="G238" s="97"/>
      <c r="H238" s="48"/>
    </row>
    <row r="239">
      <c r="B239" s="47"/>
      <c r="F239" s="97"/>
      <c r="G239" s="97"/>
      <c r="H239" s="48"/>
    </row>
    <row r="240">
      <c r="B240" s="47"/>
      <c r="F240" s="97"/>
      <c r="G240" s="97"/>
      <c r="H240" s="48"/>
    </row>
    <row r="241">
      <c r="B241" s="47"/>
      <c r="F241" s="97"/>
      <c r="G241" s="97"/>
      <c r="H241" s="48"/>
    </row>
    <row r="242">
      <c r="B242" s="47"/>
      <c r="F242" s="97"/>
      <c r="G242" s="97"/>
      <c r="H242" s="48"/>
    </row>
    <row r="243">
      <c r="B243" s="47"/>
      <c r="F243" s="97"/>
      <c r="G243" s="97"/>
      <c r="H243" s="48"/>
    </row>
    <row r="244">
      <c r="B244" s="47"/>
      <c r="F244" s="97"/>
      <c r="G244" s="97"/>
      <c r="H244" s="48"/>
    </row>
    <row r="245">
      <c r="B245" s="47"/>
      <c r="F245" s="97"/>
      <c r="G245" s="97"/>
      <c r="H245" s="48"/>
    </row>
    <row r="246">
      <c r="B246" s="47"/>
      <c r="F246" s="97"/>
      <c r="G246" s="97"/>
      <c r="H246" s="48"/>
    </row>
    <row r="247">
      <c r="B247" s="47"/>
      <c r="F247" s="97"/>
      <c r="G247" s="97"/>
      <c r="H247" s="48"/>
    </row>
    <row r="248">
      <c r="B248" s="47"/>
      <c r="F248" s="97"/>
      <c r="G248" s="97"/>
      <c r="H248" s="48"/>
    </row>
    <row r="249">
      <c r="B249" s="47"/>
      <c r="F249" s="97"/>
      <c r="G249" s="97"/>
      <c r="H249" s="48"/>
    </row>
    <row r="250">
      <c r="B250" s="47"/>
      <c r="F250" s="97"/>
      <c r="G250" s="97"/>
      <c r="H250" s="48"/>
    </row>
    <row r="251">
      <c r="B251" s="47"/>
      <c r="F251" s="97"/>
      <c r="G251" s="97"/>
      <c r="H251" s="48"/>
    </row>
    <row r="252">
      <c r="B252" s="47"/>
      <c r="F252" s="97"/>
      <c r="G252" s="97"/>
      <c r="H252" s="48"/>
    </row>
    <row r="253">
      <c r="B253" s="47"/>
      <c r="F253" s="97"/>
      <c r="G253" s="97"/>
      <c r="H253" s="48"/>
    </row>
    <row r="254">
      <c r="B254" s="47"/>
      <c r="F254" s="97"/>
      <c r="G254" s="97"/>
      <c r="H254" s="48"/>
    </row>
    <row r="255">
      <c r="B255" s="47"/>
      <c r="F255" s="97"/>
      <c r="G255" s="97"/>
      <c r="H255" s="48"/>
    </row>
    <row r="256">
      <c r="B256" s="47"/>
      <c r="F256" s="97"/>
      <c r="G256" s="97"/>
      <c r="H256" s="48"/>
    </row>
    <row r="257">
      <c r="B257" s="47"/>
      <c r="F257" s="97"/>
      <c r="G257" s="97"/>
      <c r="H257" s="48"/>
    </row>
    <row r="258">
      <c r="B258" s="47"/>
      <c r="F258" s="97"/>
      <c r="G258" s="97"/>
      <c r="H258" s="48"/>
    </row>
    <row r="259">
      <c r="B259" s="47"/>
      <c r="F259" s="97"/>
      <c r="G259" s="97"/>
      <c r="H259" s="48"/>
    </row>
    <row r="260">
      <c r="B260" s="47"/>
      <c r="F260" s="97"/>
      <c r="G260" s="97"/>
      <c r="H260" s="48"/>
    </row>
    <row r="261">
      <c r="B261" s="47"/>
      <c r="F261" s="97"/>
      <c r="G261" s="97"/>
      <c r="H261" s="48"/>
    </row>
    <row r="262">
      <c r="B262" s="47"/>
      <c r="F262" s="97"/>
      <c r="G262" s="97"/>
      <c r="H262" s="48"/>
    </row>
    <row r="263">
      <c r="B263" s="47"/>
      <c r="F263" s="97"/>
      <c r="G263" s="97"/>
      <c r="H263" s="48"/>
    </row>
    <row r="264">
      <c r="B264" s="47"/>
      <c r="F264" s="97"/>
      <c r="G264" s="97"/>
      <c r="H264" s="48"/>
    </row>
    <row r="265">
      <c r="B265" s="47"/>
      <c r="F265" s="97"/>
      <c r="G265" s="97"/>
      <c r="H265" s="48"/>
    </row>
    <row r="266">
      <c r="B266" s="47"/>
      <c r="F266" s="97"/>
      <c r="G266" s="97"/>
      <c r="H266" s="48"/>
    </row>
    <row r="267">
      <c r="B267" s="47"/>
      <c r="F267" s="97"/>
      <c r="G267" s="97"/>
      <c r="H267" s="48"/>
    </row>
    <row r="268">
      <c r="B268" s="47"/>
      <c r="F268" s="97"/>
      <c r="G268" s="97"/>
      <c r="H268" s="48"/>
    </row>
    <row r="269">
      <c r="B269" s="47"/>
      <c r="F269" s="97"/>
      <c r="G269" s="97"/>
      <c r="H269" s="48"/>
    </row>
    <row r="270">
      <c r="B270" s="47"/>
      <c r="F270" s="97"/>
      <c r="G270" s="97"/>
      <c r="H270" s="48"/>
    </row>
    <row r="271">
      <c r="B271" s="47"/>
      <c r="F271" s="97"/>
      <c r="G271" s="97"/>
      <c r="H271" s="48"/>
    </row>
    <row r="272">
      <c r="B272" s="47"/>
      <c r="F272" s="97"/>
      <c r="G272" s="97"/>
      <c r="H272" s="48"/>
    </row>
    <row r="273">
      <c r="B273" s="47"/>
      <c r="F273" s="97"/>
      <c r="G273" s="97"/>
      <c r="H273" s="48"/>
    </row>
    <row r="274">
      <c r="B274" s="47"/>
      <c r="F274" s="97"/>
      <c r="G274" s="97"/>
      <c r="H274" s="48"/>
    </row>
    <row r="275">
      <c r="B275" s="47"/>
      <c r="F275" s="97"/>
      <c r="G275" s="97"/>
      <c r="H275" s="48"/>
    </row>
    <row r="276">
      <c r="B276" s="47"/>
      <c r="F276" s="97"/>
      <c r="G276" s="97"/>
      <c r="H276" s="48"/>
    </row>
    <row r="277">
      <c r="B277" s="47"/>
      <c r="F277" s="97"/>
      <c r="G277" s="97"/>
      <c r="H277" s="48"/>
    </row>
    <row r="278">
      <c r="B278" s="47"/>
      <c r="F278" s="97"/>
      <c r="G278" s="97"/>
      <c r="H278" s="48"/>
    </row>
    <row r="279">
      <c r="B279" s="47"/>
      <c r="F279" s="97"/>
      <c r="G279" s="97"/>
      <c r="H279" s="48"/>
    </row>
    <row r="280">
      <c r="B280" s="47"/>
      <c r="F280" s="97"/>
      <c r="G280" s="97"/>
      <c r="H280" s="48"/>
    </row>
    <row r="281">
      <c r="B281" s="47"/>
      <c r="F281" s="97"/>
      <c r="G281" s="97"/>
      <c r="H281" s="48"/>
    </row>
    <row r="282">
      <c r="B282" s="47"/>
      <c r="F282" s="97"/>
      <c r="G282" s="97"/>
      <c r="H282" s="48"/>
    </row>
    <row r="283">
      <c r="B283" s="47"/>
      <c r="F283" s="97"/>
      <c r="G283" s="97"/>
      <c r="H283" s="48"/>
    </row>
    <row r="284">
      <c r="B284" s="47"/>
      <c r="F284" s="97"/>
      <c r="G284" s="97"/>
      <c r="H284" s="48"/>
    </row>
    <row r="285">
      <c r="B285" s="47"/>
      <c r="F285" s="97"/>
      <c r="G285" s="97"/>
      <c r="H285" s="48"/>
    </row>
    <row r="286">
      <c r="B286" s="47"/>
      <c r="F286" s="97"/>
      <c r="G286" s="97"/>
      <c r="H286" s="48"/>
    </row>
    <row r="287">
      <c r="B287" s="47"/>
      <c r="F287" s="97"/>
      <c r="G287" s="97"/>
      <c r="H287" s="48"/>
    </row>
    <row r="288">
      <c r="B288" s="47"/>
      <c r="F288" s="97"/>
      <c r="G288" s="97"/>
      <c r="H288" s="48"/>
    </row>
    <row r="289">
      <c r="B289" s="47"/>
      <c r="F289" s="97"/>
      <c r="G289" s="97"/>
      <c r="H289" s="48"/>
    </row>
    <row r="290">
      <c r="B290" s="47"/>
      <c r="F290" s="97"/>
      <c r="G290" s="97"/>
      <c r="H290" s="48"/>
    </row>
    <row r="291">
      <c r="B291" s="47"/>
      <c r="F291" s="97"/>
      <c r="G291" s="97"/>
      <c r="H291" s="48"/>
    </row>
    <row r="292">
      <c r="B292" s="47"/>
      <c r="F292" s="97"/>
      <c r="G292" s="97"/>
      <c r="H292" s="48"/>
    </row>
    <row r="293">
      <c r="B293" s="47"/>
      <c r="F293" s="97"/>
      <c r="G293" s="97"/>
      <c r="H293" s="48"/>
    </row>
    <row r="294">
      <c r="B294" s="47"/>
      <c r="F294" s="97"/>
      <c r="G294" s="97"/>
      <c r="H294" s="48"/>
    </row>
    <row r="295">
      <c r="B295" s="47"/>
      <c r="F295" s="97"/>
      <c r="G295" s="97"/>
      <c r="H295" s="48"/>
    </row>
    <row r="296">
      <c r="B296" s="47"/>
      <c r="F296" s="97"/>
      <c r="G296" s="97"/>
      <c r="H296" s="48"/>
    </row>
    <row r="297">
      <c r="B297" s="47"/>
      <c r="F297" s="97"/>
      <c r="G297" s="97"/>
      <c r="H297" s="48"/>
    </row>
    <row r="298">
      <c r="B298" s="47"/>
      <c r="F298" s="97"/>
      <c r="G298" s="97"/>
      <c r="H298" s="48"/>
    </row>
    <row r="299">
      <c r="B299" s="47"/>
      <c r="F299" s="97"/>
      <c r="G299" s="97"/>
      <c r="H299" s="48"/>
    </row>
    <row r="300">
      <c r="B300" s="47"/>
      <c r="F300" s="97"/>
      <c r="G300" s="97"/>
      <c r="H300" s="48"/>
    </row>
    <row r="301">
      <c r="B301" s="47"/>
      <c r="F301" s="97"/>
      <c r="G301" s="97"/>
      <c r="H301" s="48"/>
    </row>
    <row r="302">
      <c r="B302" s="47"/>
      <c r="F302" s="97"/>
      <c r="G302" s="97"/>
      <c r="H302" s="48"/>
    </row>
    <row r="303">
      <c r="B303" s="47"/>
      <c r="F303" s="97"/>
      <c r="G303" s="97"/>
      <c r="H303" s="48"/>
    </row>
    <row r="304">
      <c r="B304" s="47"/>
      <c r="F304" s="97"/>
      <c r="G304" s="97"/>
      <c r="H304" s="48"/>
    </row>
    <row r="305">
      <c r="B305" s="47"/>
      <c r="F305" s="97"/>
      <c r="G305" s="97"/>
      <c r="H305" s="48"/>
    </row>
    <row r="306">
      <c r="B306" s="47"/>
      <c r="F306" s="97"/>
      <c r="G306" s="97"/>
      <c r="H306" s="48"/>
    </row>
    <row r="307">
      <c r="B307" s="47"/>
      <c r="F307" s="97"/>
      <c r="G307" s="97"/>
      <c r="H307" s="48"/>
    </row>
    <row r="308">
      <c r="B308" s="47"/>
      <c r="F308" s="97"/>
      <c r="G308" s="97"/>
      <c r="H308" s="48"/>
    </row>
    <row r="309">
      <c r="B309" s="47"/>
      <c r="F309" s="97"/>
      <c r="G309" s="97"/>
      <c r="H309" s="48"/>
    </row>
    <row r="310">
      <c r="B310" s="47"/>
      <c r="F310" s="97"/>
      <c r="G310" s="97"/>
      <c r="H310" s="48"/>
    </row>
    <row r="311">
      <c r="B311" s="47"/>
      <c r="F311" s="97"/>
      <c r="G311" s="97"/>
      <c r="H311" s="48"/>
    </row>
    <row r="312">
      <c r="B312" s="47"/>
      <c r="F312" s="97"/>
      <c r="G312" s="97"/>
      <c r="H312" s="48"/>
    </row>
    <row r="313">
      <c r="B313" s="47"/>
      <c r="F313" s="97"/>
      <c r="G313" s="97"/>
      <c r="H313" s="48"/>
    </row>
    <row r="314">
      <c r="B314" s="47"/>
      <c r="F314" s="97"/>
      <c r="G314" s="97"/>
      <c r="H314" s="48"/>
    </row>
    <row r="315">
      <c r="B315" s="47"/>
      <c r="F315" s="97"/>
      <c r="G315" s="97"/>
      <c r="H315" s="48"/>
    </row>
    <row r="316">
      <c r="B316" s="47"/>
      <c r="F316" s="97"/>
      <c r="G316" s="97"/>
      <c r="H316" s="48"/>
    </row>
    <row r="317">
      <c r="B317" s="47"/>
      <c r="F317" s="97"/>
      <c r="G317" s="97"/>
      <c r="H317" s="48"/>
    </row>
    <row r="318">
      <c r="B318" s="47"/>
      <c r="F318" s="97"/>
      <c r="G318" s="97"/>
      <c r="H318" s="48"/>
    </row>
    <row r="319">
      <c r="B319" s="47"/>
      <c r="F319" s="97"/>
      <c r="G319" s="97"/>
      <c r="H319" s="48"/>
    </row>
    <row r="320">
      <c r="B320" s="47"/>
      <c r="F320" s="97"/>
      <c r="G320" s="97"/>
      <c r="H320" s="48"/>
    </row>
    <row r="321">
      <c r="B321" s="47"/>
      <c r="F321" s="97"/>
      <c r="G321" s="97"/>
      <c r="H321" s="48"/>
    </row>
    <row r="322">
      <c r="B322" s="47"/>
      <c r="F322" s="97"/>
      <c r="G322" s="97"/>
      <c r="H322" s="48"/>
    </row>
    <row r="323">
      <c r="B323" s="47"/>
      <c r="F323" s="97"/>
      <c r="G323" s="97"/>
      <c r="H323" s="48"/>
    </row>
    <row r="324">
      <c r="B324" s="47"/>
      <c r="F324" s="97"/>
      <c r="G324" s="97"/>
      <c r="H324" s="48"/>
    </row>
    <row r="325">
      <c r="B325" s="47"/>
      <c r="F325" s="97"/>
      <c r="G325" s="97"/>
      <c r="H325" s="48"/>
    </row>
    <row r="326">
      <c r="B326" s="47"/>
      <c r="F326" s="97"/>
      <c r="G326" s="97"/>
      <c r="H326" s="48"/>
    </row>
    <row r="327">
      <c r="B327" s="47"/>
      <c r="F327" s="97"/>
      <c r="G327" s="97"/>
      <c r="H327" s="48"/>
    </row>
    <row r="328">
      <c r="B328" s="47"/>
      <c r="F328" s="97"/>
      <c r="G328" s="97"/>
      <c r="H328" s="48"/>
    </row>
    <row r="329">
      <c r="B329" s="47"/>
      <c r="F329" s="97"/>
      <c r="G329" s="97"/>
      <c r="H329" s="48"/>
    </row>
    <row r="330">
      <c r="B330" s="47"/>
      <c r="F330" s="97"/>
      <c r="G330" s="97"/>
      <c r="H330" s="48"/>
    </row>
    <row r="331">
      <c r="B331" s="47"/>
      <c r="F331" s="97"/>
      <c r="G331" s="97"/>
      <c r="H331" s="48"/>
    </row>
    <row r="332">
      <c r="B332" s="47"/>
      <c r="F332" s="97"/>
      <c r="G332" s="97"/>
      <c r="H332" s="48"/>
    </row>
    <row r="333">
      <c r="B333" s="47"/>
      <c r="F333" s="97"/>
      <c r="G333" s="97"/>
      <c r="H333" s="48"/>
    </row>
    <row r="334">
      <c r="B334" s="47"/>
      <c r="F334" s="97"/>
      <c r="G334" s="97"/>
      <c r="H334" s="48"/>
    </row>
    <row r="335">
      <c r="B335" s="47"/>
      <c r="F335" s="97"/>
      <c r="G335" s="97"/>
      <c r="H335" s="48"/>
    </row>
    <row r="336">
      <c r="B336" s="47"/>
      <c r="F336" s="97"/>
      <c r="G336" s="97"/>
      <c r="H336" s="48"/>
    </row>
    <row r="337">
      <c r="B337" s="47"/>
      <c r="F337" s="97"/>
      <c r="G337" s="97"/>
      <c r="H337" s="48"/>
    </row>
    <row r="338">
      <c r="B338" s="47"/>
      <c r="F338" s="97"/>
      <c r="G338" s="97"/>
      <c r="H338" s="48"/>
    </row>
    <row r="339">
      <c r="B339" s="47"/>
      <c r="F339" s="97"/>
      <c r="G339" s="97"/>
      <c r="H339" s="48"/>
    </row>
    <row r="340">
      <c r="B340" s="47"/>
      <c r="F340" s="97"/>
      <c r="G340" s="97"/>
      <c r="H340" s="48"/>
    </row>
    <row r="341">
      <c r="B341" s="47"/>
      <c r="F341" s="97"/>
      <c r="G341" s="97"/>
      <c r="H341" s="48"/>
    </row>
    <row r="342">
      <c r="B342" s="47"/>
      <c r="F342" s="97"/>
      <c r="G342" s="97"/>
      <c r="H342" s="48"/>
    </row>
    <row r="343">
      <c r="B343" s="47"/>
      <c r="F343" s="97"/>
      <c r="G343" s="97"/>
      <c r="H343" s="48"/>
    </row>
    <row r="344">
      <c r="B344" s="47"/>
      <c r="F344" s="97"/>
      <c r="G344" s="97"/>
      <c r="H344" s="48"/>
    </row>
    <row r="345">
      <c r="B345" s="47"/>
      <c r="F345" s="97"/>
      <c r="G345" s="97"/>
      <c r="H345" s="48"/>
    </row>
    <row r="346">
      <c r="B346" s="47"/>
      <c r="F346" s="97"/>
      <c r="G346" s="97"/>
      <c r="H346" s="48"/>
    </row>
    <row r="347">
      <c r="B347" s="47"/>
      <c r="F347" s="97"/>
      <c r="G347" s="97"/>
      <c r="H347" s="48"/>
    </row>
    <row r="348">
      <c r="B348" s="47"/>
      <c r="F348" s="97"/>
      <c r="G348" s="97"/>
      <c r="H348" s="48"/>
    </row>
    <row r="349">
      <c r="B349" s="47"/>
      <c r="F349" s="97"/>
      <c r="G349" s="97"/>
      <c r="H349" s="48"/>
    </row>
    <row r="350">
      <c r="B350" s="47"/>
      <c r="F350" s="97"/>
      <c r="G350" s="97"/>
      <c r="H350" s="48"/>
    </row>
    <row r="351">
      <c r="B351" s="47"/>
      <c r="F351" s="97"/>
      <c r="G351" s="97"/>
      <c r="H351" s="48"/>
    </row>
    <row r="352">
      <c r="B352" s="47"/>
      <c r="F352" s="97"/>
      <c r="G352" s="97"/>
      <c r="H352" s="48"/>
    </row>
    <row r="353">
      <c r="B353" s="47"/>
      <c r="F353" s="97"/>
      <c r="G353" s="97"/>
      <c r="H353" s="48"/>
    </row>
    <row r="354">
      <c r="B354" s="47"/>
      <c r="F354" s="97"/>
      <c r="G354" s="97"/>
      <c r="H354" s="48"/>
    </row>
    <row r="355">
      <c r="B355" s="47"/>
      <c r="F355" s="97"/>
      <c r="G355" s="97"/>
      <c r="H355" s="48"/>
    </row>
    <row r="356">
      <c r="B356" s="47"/>
      <c r="F356" s="97"/>
      <c r="G356" s="97"/>
      <c r="H356" s="48"/>
    </row>
    <row r="357">
      <c r="B357" s="47"/>
      <c r="F357" s="97"/>
      <c r="G357" s="97"/>
      <c r="H357" s="48"/>
    </row>
    <row r="358">
      <c r="B358" s="47"/>
      <c r="F358" s="97"/>
      <c r="G358" s="97"/>
      <c r="H358" s="48"/>
    </row>
    <row r="359">
      <c r="B359" s="47"/>
      <c r="F359" s="97"/>
      <c r="G359" s="97"/>
      <c r="H359" s="48"/>
    </row>
    <row r="360">
      <c r="B360" s="47"/>
      <c r="F360" s="97"/>
      <c r="G360" s="97"/>
      <c r="H360" s="48"/>
    </row>
    <row r="361">
      <c r="B361" s="47"/>
      <c r="F361" s="97"/>
      <c r="G361" s="97"/>
      <c r="H361" s="48"/>
    </row>
    <row r="362">
      <c r="B362" s="47"/>
      <c r="F362" s="97"/>
      <c r="G362" s="97"/>
      <c r="H362" s="48"/>
    </row>
    <row r="363">
      <c r="B363" s="47"/>
      <c r="F363" s="97"/>
      <c r="G363" s="97"/>
      <c r="H363" s="48"/>
    </row>
    <row r="364">
      <c r="B364" s="47"/>
      <c r="F364" s="97"/>
      <c r="G364" s="97"/>
      <c r="H364" s="48"/>
    </row>
    <row r="365">
      <c r="B365" s="47"/>
      <c r="F365" s="97"/>
      <c r="G365" s="97"/>
      <c r="H365" s="48"/>
    </row>
    <row r="366">
      <c r="B366" s="47"/>
      <c r="F366" s="97"/>
      <c r="G366" s="97"/>
      <c r="H366" s="48"/>
    </row>
    <row r="367">
      <c r="B367" s="47"/>
      <c r="F367" s="97"/>
      <c r="G367" s="97"/>
      <c r="H367" s="48"/>
    </row>
    <row r="368">
      <c r="B368" s="47"/>
      <c r="F368" s="97"/>
      <c r="G368" s="97"/>
      <c r="H368" s="48"/>
    </row>
    <row r="369">
      <c r="B369" s="47"/>
      <c r="F369" s="97"/>
      <c r="G369" s="97"/>
      <c r="H369" s="48"/>
    </row>
    <row r="370">
      <c r="B370" s="47"/>
      <c r="F370" s="97"/>
      <c r="G370" s="97"/>
      <c r="H370" s="48"/>
    </row>
    <row r="371">
      <c r="B371" s="47"/>
      <c r="F371" s="97"/>
      <c r="G371" s="97"/>
      <c r="H371" s="48"/>
    </row>
    <row r="372">
      <c r="B372" s="47"/>
      <c r="F372" s="97"/>
      <c r="G372" s="97"/>
      <c r="H372" s="48"/>
    </row>
    <row r="373">
      <c r="B373" s="47"/>
      <c r="F373" s="97"/>
      <c r="G373" s="97"/>
      <c r="H373" s="48"/>
    </row>
    <row r="374">
      <c r="B374" s="47"/>
      <c r="F374" s="97"/>
      <c r="G374" s="97"/>
      <c r="H374" s="48"/>
    </row>
    <row r="375">
      <c r="B375" s="47"/>
      <c r="F375" s="97"/>
      <c r="G375" s="97"/>
      <c r="H375" s="48"/>
    </row>
    <row r="376">
      <c r="B376" s="47"/>
      <c r="F376" s="97"/>
      <c r="G376" s="97"/>
      <c r="H376" s="48"/>
    </row>
    <row r="377">
      <c r="B377" s="47"/>
      <c r="F377" s="97"/>
      <c r="G377" s="97"/>
      <c r="H377" s="48"/>
    </row>
    <row r="378">
      <c r="B378" s="47"/>
      <c r="F378" s="97"/>
      <c r="G378" s="97"/>
      <c r="H378" s="48"/>
    </row>
    <row r="379">
      <c r="B379" s="47"/>
      <c r="F379" s="97"/>
      <c r="G379" s="97"/>
      <c r="H379" s="48"/>
    </row>
    <row r="380">
      <c r="B380" s="47"/>
      <c r="F380" s="97"/>
      <c r="G380" s="97"/>
      <c r="H380" s="48"/>
    </row>
    <row r="381">
      <c r="B381" s="47"/>
      <c r="F381" s="97"/>
      <c r="G381" s="97"/>
      <c r="H381" s="48"/>
    </row>
    <row r="382">
      <c r="B382" s="47"/>
      <c r="F382" s="97"/>
      <c r="G382" s="97"/>
      <c r="H382" s="48"/>
    </row>
    <row r="383">
      <c r="B383" s="47"/>
      <c r="F383" s="97"/>
      <c r="G383" s="97"/>
      <c r="H383" s="48"/>
    </row>
    <row r="384">
      <c r="B384" s="47"/>
      <c r="F384" s="97"/>
      <c r="G384" s="97"/>
      <c r="H384" s="48"/>
    </row>
    <row r="385">
      <c r="B385" s="47"/>
      <c r="F385" s="97"/>
      <c r="G385" s="97"/>
      <c r="H385" s="48"/>
    </row>
    <row r="386">
      <c r="B386" s="47"/>
      <c r="F386" s="97"/>
      <c r="G386" s="97"/>
      <c r="H386" s="48"/>
    </row>
    <row r="387">
      <c r="B387" s="47"/>
      <c r="F387" s="97"/>
      <c r="G387" s="97"/>
      <c r="H387" s="48"/>
    </row>
    <row r="388">
      <c r="B388" s="47"/>
      <c r="F388" s="97"/>
      <c r="G388" s="97"/>
      <c r="H388" s="48"/>
    </row>
    <row r="389">
      <c r="B389" s="47"/>
      <c r="F389" s="97"/>
      <c r="G389" s="97"/>
      <c r="H389" s="48"/>
    </row>
    <row r="390">
      <c r="B390" s="47"/>
      <c r="F390" s="97"/>
      <c r="G390" s="97"/>
      <c r="H390" s="48"/>
    </row>
    <row r="391">
      <c r="B391" s="47"/>
      <c r="F391" s="97"/>
      <c r="G391" s="97"/>
      <c r="H391" s="48"/>
    </row>
    <row r="392">
      <c r="B392" s="47"/>
      <c r="F392" s="97"/>
      <c r="G392" s="97"/>
      <c r="H392" s="48"/>
    </row>
    <row r="393">
      <c r="B393" s="47"/>
      <c r="F393" s="97"/>
      <c r="G393" s="97"/>
      <c r="H393" s="48"/>
    </row>
    <row r="394">
      <c r="B394" s="47"/>
      <c r="F394" s="97"/>
      <c r="G394" s="97"/>
      <c r="H394" s="48"/>
    </row>
    <row r="395">
      <c r="B395" s="47"/>
      <c r="F395" s="97"/>
      <c r="G395" s="97"/>
      <c r="H395" s="48"/>
    </row>
    <row r="396">
      <c r="B396" s="47"/>
      <c r="F396" s="97"/>
      <c r="G396" s="97"/>
      <c r="H396" s="48"/>
    </row>
    <row r="397">
      <c r="B397" s="47"/>
      <c r="F397" s="97"/>
      <c r="G397" s="97"/>
      <c r="H397" s="48"/>
    </row>
    <row r="398">
      <c r="B398" s="47"/>
      <c r="F398" s="97"/>
      <c r="G398" s="97"/>
      <c r="H398" s="48"/>
    </row>
    <row r="399">
      <c r="B399" s="47"/>
      <c r="F399" s="97"/>
      <c r="G399" s="97"/>
      <c r="H399" s="48"/>
    </row>
    <row r="400">
      <c r="B400" s="47"/>
      <c r="F400" s="97"/>
      <c r="G400" s="97"/>
      <c r="H400" s="48"/>
    </row>
    <row r="401">
      <c r="B401" s="47"/>
      <c r="F401" s="97"/>
      <c r="G401" s="97"/>
      <c r="H401" s="48"/>
    </row>
    <row r="402">
      <c r="B402" s="47"/>
      <c r="F402" s="97"/>
      <c r="G402" s="97"/>
      <c r="H402" s="48"/>
    </row>
    <row r="403">
      <c r="B403" s="47"/>
      <c r="F403" s="97"/>
      <c r="G403" s="97"/>
      <c r="H403" s="48"/>
    </row>
    <row r="404">
      <c r="B404" s="47"/>
      <c r="F404" s="97"/>
      <c r="G404" s="97"/>
      <c r="H404" s="48"/>
    </row>
    <row r="405">
      <c r="B405" s="47"/>
      <c r="F405" s="97"/>
      <c r="G405" s="97"/>
      <c r="H405" s="48"/>
    </row>
    <row r="406">
      <c r="B406" s="47"/>
      <c r="F406" s="97"/>
      <c r="G406" s="97"/>
      <c r="H406" s="48"/>
    </row>
    <row r="407">
      <c r="B407" s="47"/>
      <c r="F407" s="97"/>
      <c r="G407" s="97"/>
      <c r="H407" s="48"/>
    </row>
    <row r="408">
      <c r="B408" s="47"/>
      <c r="F408" s="97"/>
      <c r="G408" s="97"/>
      <c r="H408" s="48"/>
    </row>
    <row r="409">
      <c r="B409" s="47"/>
      <c r="F409" s="97"/>
      <c r="G409" s="97"/>
      <c r="H409" s="48"/>
    </row>
    <row r="410">
      <c r="B410" s="47"/>
      <c r="F410" s="97"/>
      <c r="G410" s="97"/>
      <c r="H410" s="48"/>
    </row>
    <row r="411">
      <c r="B411" s="47"/>
      <c r="F411" s="97"/>
      <c r="G411" s="97"/>
      <c r="H411" s="48"/>
    </row>
    <row r="412">
      <c r="B412" s="47"/>
      <c r="F412" s="97"/>
      <c r="G412" s="97"/>
      <c r="H412" s="48"/>
    </row>
    <row r="413">
      <c r="B413" s="47"/>
      <c r="F413" s="97"/>
      <c r="G413" s="97"/>
      <c r="H413" s="48"/>
    </row>
    <row r="414">
      <c r="B414" s="47"/>
      <c r="F414" s="97"/>
      <c r="G414" s="97"/>
      <c r="H414" s="48"/>
    </row>
    <row r="415">
      <c r="B415" s="47"/>
      <c r="F415" s="97"/>
      <c r="G415" s="97"/>
      <c r="H415" s="48"/>
    </row>
    <row r="416">
      <c r="B416" s="47"/>
      <c r="F416" s="97"/>
      <c r="G416" s="97"/>
      <c r="H416" s="48"/>
    </row>
    <row r="417">
      <c r="B417" s="47"/>
      <c r="F417" s="97"/>
      <c r="G417" s="97"/>
      <c r="H417" s="48"/>
    </row>
    <row r="418">
      <c r="B418" s="47"/>
      <c r="F418" s="97"/>
      <c r="G418" s="97"/>
      <c r="H418" s="48"/>
    </row>
    <row r="419">
      <c r="B419" s="47"/>
      <c r="F419" s="97"/>
      <c r="G419" s="97"/>
      <c r="H419" s="48"/>
    </row>
    <row r="420">
      <c r="B420" s="47"/>
      <c r="F420" s="97"/>
      <c r="G420" s="97"/>
      <c r="H420" s="48"/>
    </row>
    <row r="421">
      <c r="B421" s="47"/>
      <c r="F421" s="97"/>
      <c r="G421" s="97"/>
      <c r="H421" s="48"/>
    </row>
    <row r="422">
      <c r="B422" s="47"/>
      <c r="F422" s="97"/>
      <c r="G422" s="97"/>
      <c r="H422" s="48"/>
    </row>
    <row r="423">
      <c r="B423" s="47"/>
      <c r="F423" s="97"/>
      <c r="G423" s="97"/>
      <c r="H423" s="48"/>
    </row>
    <row r="424">
      <c r="B424" s="47"/>
      <c r="F424" s="97"/>
      <c r="G424" s="97"/>
      <c r="H424" s="48"/>
    </row>
    <row r="425">
      <c r="B425" s="47"/>
      <c r="F425" s="97"/>
      <c r="G425" s="97"/>
      <c r="H425" s="48"/>
    </row>
    <row r="426">
      <c r="B426" s="47"/>
      <c r="F426" s="97"/>
      <c r="G426" s="97"/>
      <c r="H426" s="48"/>
    </row>
    <row r="427">
      <c r="B427" s="47"/>
      <c r="F427" s="97"/>
      <c r="G427" s="97"/>
      <c r="H427" s="48"/>
    </row>
    <row r="428">
      <c r="B428" s="47"/>
      <c r="F428" s="97"/>
      <c r="G428" s="97"/>
      <c r="H428" s="48"/>
    </row>
    <row r="429">
      <c r="B429" s="47"/>
      <c r="F429" s="97"/>
      <c r="G429" s="97"/>
      <c r="H429" s="48"/>
    </row>
    <row r="430">
      <c r="B430" s="47"/>
      <c r="F430" s="97"/>
      <c r="G430" s="97"/>
      <c r="H430" s="48"/>
    </row>
    <row r="431">
      <c r="B431" s="47"/>
      <c r="F431" s="97"/>
      <c r="G431" s="97"/>
      <c r="H431" s="48"/>
    </row>
    <row r="432">
      <c r="B432" s="47"/>
      <c r="F432" s="97"/>
      <c r="G432" s="97"/>
      <c r="H432" s="48"/>
    </row>
    <row r="433">
      <c r="B433" s="47"/>
      <c r="F433" s="97"/>
      <c r="G433" s="97"/>
      <c r="H433" s="48"/>
    </row>
    <row r="434">
      <c r="B434" s="47"/>
      <c r="F434" s="97"/>
      <c r="G434" s="97"/>
      <c r="H434" s="48"/>
    </row>
    <row r="435">
      <c r="B435" s="47"/>
      <c r="F435" s="97"/>
      <c r="G435" s="97"/>
      <c r="H435" s="48"/>
    </row>
    <row r="436">
      <c r="B436" s="47"/>
      <c r="F436" s="97"/>
      <c r="G436" s="97"/>
      <c r="H436" s="48"/>
    </row>
    <row r="437">
      <c r="B437" s="47"/>
      <c r="F437" s="97"/>
      <c r="G437" s="97"/>
      <c r="H437" s="48"/>
    </row>
    <row r="438">
      <c r="B438" s="47"/>
      <c r="F438" s="97"/>
      <c r="G438" s="97"/>
      <c r="H438" s="48"/>
    </row>
    <row r="439">
      <c r="B439" s="47"/>
      <c r="F439" s="97"/>
      <c r="G439" s="97"/>
      <c r="H439" s="48"/>
    </row>
    <row r="440">
      <c r="B440" s="47"/>
      <c r="F440" s="97"/>
      <c r="G440" s="97"/>
      <c r="H440" s="48"/>
    </row>
    <row r="441">
      <c r="B441" s="47"/>
      <c r="F441" s="97"/>
      <c r="G441" s="97"/>
      <c r="H441" s="48"/>
    </row>
    <row r="442">
      <c r="B442" s="47"/>
      <c r="F442" s="97"/>
      <c r="G442" s="97"/>
      <c r="H442" s="48"/>
    </row>
    <row r="443">
      <c r="B443" s="47"/>
      <c r="F443" s="97"/>
      <c r="G443" s="97"/>
      <c r="H443" s="48"/>
    </row>
    <row r="444">
      <c r="B444" s="47"/>
      <c r="F444" s="97"/>
      <c r="G444" s="97"/>
      <c r="H444" s="48"/>
    </row>
    <row r="445">
      <c r="B445" s="47"/>
      <c r="F445" s="97"/>
      <c r="G445" s="97"/>
      <c r="H445" s="48"/>
    </row>
    <row r="446">
      <c r="B446" s="47"/>
      <c r="F446" s="97"/>
      <c r="G446" s="97"/>
      <c r="H446" s="48"/>
    </row>
    <row r="447">
      <c r="B447" s="47"/>
      <c r="F447" s="97"/>
      <c r="G447" s="97"/>
      <c r="H447" s="48"/>
    </row>
    <row r="448">
      <c r="B448" s="47"/>
      <c r="F448" s="97"/>
      <c r="G448" s="97"/>
      <c r="H448" s="48"/>
    </row>
    <row r="449">
      <c r="B449" s="47"/>
      <c r="F449" s="97"/>
      <c r="G449" s="97"/>
      <c r="H449" s="48"/>
    </row>
    <row r="450">
      <c r="B450" s="47"/>
      <c r="F450" s="97"/>
      <c r="G450" s="97"/>
      <c r="H450" s="48"/>
    </row>
    <row r="451">
      <c r="B451" s="47"/>
      <c r="F451" s="97"/>
      <c r="G451" s="97"/>
      <c r="H451" s="48"/>
    </row>
    <row r="452">
      <c r="B452" s="47"/>
      <c r="F452" s="97"/>
      <c r="G452" s="97"/>
      <c r="H452" s="48"/>
    </row>
    <row r="453">
      <c r="B453" s="47"/>
      <c r="F453" s="97"/>
      <c r="G453" s="97"/>
      <c r="H453" s="48"/>
    </row>
    <row r="454">
      <c r="B454" s="47"/>
      <c r="F454" s="97"/>
      <c r="G454" s="97"/>
      <c r="H454" s="48"/>
    </row>
    <row r="455">
      <c r="B455" s="47"/>
      <c r="F455" s="97"/>
      <c r="G455" s="97"/>
      <c r="H455" s="48"/>
    </row>
    <row r="456">
      <c r="B456" s="47"/>
      <c r="F456" s="97"/>
      <c r="G456" s="97"/>
      <c r="H456" s="48"/>
    </row>
    <row r="457">
      <c r="B457" s="47"/>
      <c r="F457" s="97"/>
      <c r="G457" s="97"/>
      <c r="H457" s="48"/>
    </row>
    <row r="458">
      <c r="B458" s="47"/>
      <c r="F458" s="97"/>
      <c r="G458" s="97"/>
      <c r="H458" s="48"/>
    </row>
    <row r="459">
      <c r="B459" s="47"/>
      <c r="F459" s="97"/>
      <c r="G459" s="97"/>
      <c r="H459" s="48"/>
    </row>
    <row r="460">
      <c r="B460" s="47"/>
      <c r="F460" s="97"/>
      <c r="G460" s="97"/>
      <c r="H460" s="48"/>
    </row>
    <row r="461">
      <c r="B461" s="47"/>
      <c r="F461" s="97"/>
      <c r="G461" s="97"/>
      <c r="H461" s="48"/>
    </row>
    <row r="462">
      <c r="B462" s="47"/>
      <c r="F462" s="97"/>
      <c r="G462" s="97"/>
      <c r="H462" s="48"/>
    </row>
    <row r="463">
      <c r="B463" s="47"/>
      <c r="F463" s="97"/>
      <c r="G463" s="97"/>
      <c r="H463" s="48"/>
    </row>
    <row r="464">
      <c r="B464" s="47"/>
      <c r="F464" s="97"/>
      <c r="G464" s="97"/>
      <c r="H464" s="48"/>
    </row>
    <row r="465">
      <c r="B465" s="47"/>
      <c r="F465" s="97"/>
      <c r="G465" s="97"/>
      <c r="H465" s="48"/>
    </row>
    <row r="466">
      <c r="B466" s="47"/>
      <c r="F466" s="97"/>
      <c r="G466" s="97"/>
      <c r="H466" s="48"/>
    </row>
    <row r="467">
      <c r="B467" s="47"/>
      <c r="F467" s="97"/>
      <c r="G467" s="97"/>
      <c r="H467" s="48"/>
    </row>
    <row r="468">
      <c r="B468" s="47"/>
      <c r="F468" s="97"/>
      <c r="G468" s="97"/>
      <c r="H468" s="48"/>
    </row>
    <row r="469">
      <c r="B469" s="47"/>
      <c r="F469" s="97"/>
      <c r="G469" s="97"/>
      <c r="H469" s="48"/>
    </row>
    <row r="470">
      <c r="B470" s="47"/>
      <c r="F470" s="97"/>
      <c r="G470" s="97"/>
      <c r="H470" s="48"/>
    </row>
    <row r="471">
      <c r="B471" s="47"/>
      <c r="F471" s="97"/>
      <c r="G471" s="97"/>
      <c r="H471" s="48"/>
    </row>
    <row r="472">
      <c r="B472" s="47"/>
      <c r="F472" s="97"/>
      <c r="G472" s="97"/>
      <c r="H472" s="48"/>
    </row>
    <row r="473">
      <c r="B473" s="47"/>
      <c r="F473" s="97"/>
      <c r="G473" s="97"/>
      <c r="H473" s="48"/>
    </row>
    <row r="474">
      <c r="B474" s="47"/>
      <c r="F474" s="97"/>
      <c r="G474" s="97"/>
      <c r="H474" s="48"/>
    </row>
    <row r="475">
      <c r="B475" s="47"/>
      <c r="F475" s="97"/>
      <c r="G475" s="97"/>
      <c r="H475" s="48"/>
    </row>
    <row r="476">
      <c r="B476" s="47"/>
      <c r="F476" s="97"/>
      <c r="G476" s="97"/>
      <c r="H476" s="48"/>
    </row>
    <row r="477">
      <c r="B477" s="47"/>
      <c r="F477" s="97"/>
      <c r="G477" s="97"/>
      <c r="H477" s="48"/>
    </row>
    <row r="478">
      <c r="B478" s="47"/>
      <c r="F478" s="97"/>
      <c r="G478" s="97"/>
      <c r="H478" s="48"/>
    </row>
    <row r="479">
      <c r="B479" s="47"/>
      <c r="F479" s="97"/>
      <c r="G479" s="97"/>
      <c r="H479" s="48"/>
    </row>
    <row r="480">
      <c r="B480" s="47"/>
      <c r="F480" s="97"/>
      <c r="G480" s="97"/>
      <c r="H480" s="48"/>
    </row>
    <row r="481">
      <c r="B481" s="47"/>
      <c r="F481" s="97"/>
      <c r="G481" s="97"/>
      <c r="H481" s="48"/>
    </row>
    <row r="482">
      <c r="B482" s="47"/>
      <c r="F482" s="97"/>
      <c r="G482" s="97"/>
      <c r="H482" s="48"/>
    </row>
    <row r="483">
      <c r="B483" s="47"/>
      <c r="F483" s="97"/>
      <c r="G483" s="97"/>
      <c r="H483" s="48"/>
    </row>
    <row r="484">
      <c r="B484" s="47"/>
      <c r="F484" s="97"/>
      <c r="G484" s="97"/>
      <c r="H484" s="48"/>
    </row>
    <row r="485">
      <c r="B485" s="47"/>
      <c r="F485" s="97"/>
      <c r="G485" s="97"/>
      <c r="H485" s="48"/>
    </row>
    <row r="486">
      <c r="B486" s="47"/>
      <c r="F486" s="97"/>
      <c r="G486" s="97"/>
      <c r="H486" s="48"/>
    </row>
    <row r="487">
      <c r="B487" s="47"/>
      <c r="F487" s="97"/>
      <c r="G487" s="97"/>
      <c r="H487" s="48"/>
    </row>
    <row r="488">
      <c r="B488" s="47"/>
      <c r="F488" s="97"/>
      <c r="G488" s="97"/>
      <c r="H488" s="48"/>
    </row>
    <row r="489">
      <c r="B489" s="47"/>
      <c r="F489" s="97"/>
      <c r="G489" s="97"/>
      <c r="H489" s="48"/>
    </row>
    <row r="490">
      <c r="B490" s="47"/>
      <c r="F490" s="97"/>
      <c r="G490" s="97"/>
      <c r="H490" s="48"/>
    </row>
    <row r="491">
      <c r="B491" s="47"/>
      <c r="F491" s="97"/>
      <c r="G491" s="97"/>
      <c r="H491" s="48"/>
    </row>
    <row r="492">
      <c r="B492" s="47"/>
      <c r="F492" s="97"/>
      <c r="G492" s="97"/>
      <c r="H492" s="48"/>
    </row>
    <row r="493">
      <c r="B493" s="47"/>
      <c r="F493" s="97"/>
      <c r="G493" s="97"/>
      <c r="H493" s="48"/>
    </row>
    <row r="494">
      <c r="B494" s="47"/>
      <c r="F494" s="97"/>
      <c r="G494" s="97"/>
      <c r="H494" s="48"/>
    </row>
    <row r="495">
      <c r="B495" s="47"/>
      <c r="F495" s="97"/>
      <c r="G495" s="97"/>
      <c r="H495" s="48"/>
    </row>
    <row r="496">
      <c r="B496" s="47"/>
      <c r="F496" s="97"/>
      <c r="G496" s="97"/>
      <c r="H496" s="48"/>
    </row>
    <row r="497">
      <c r="B497" s="47"/>
      <c r="F497" s="97"/>
      <c r="G497" s="97"/>
      <c r="H497" s="48"/>
    </row>
    <row r="498">
      <c r="B498" s="47"/>
      <c r="F498" s="97"/>
      <c r="G498" s="97"/>
      <c r="H498" s="48"/>
    </row>
    <row r="499">
      <c r="B499" s="47"/>
      <c r="F499" s="97"/>
      <c r="G499" s="97"/>
      <c r="H499" s="48"/>
    </row>
    <row r="500">
      <c r="B500" s="47"/>
      <c r="F500" s="97"/>
      <c r="G500" s="97"/>
      <c r="H500" s="48"/>
    </row>
    <row r="501">
      <c r="B501" s="47"/>
      <c r="F501" s="97"/>
      <c r="G501" s="97"/>
      <c r="H501" s="48"/>
    </row>
    <row r="502">
      <c r="B502" s="47"/>
      <c r="F502" s="97"/>
      <c r="G502" s="97"/>
      <c r="H502" s="48"/>
    </row>
    <row r="503">
      <c r="B503" s="47"/>
      <c r="F503" s="97"/>
      <c r="G503" s="97"/>
      <c r="H503" s="48"/>
    </row>
    <row r="504">
      <c r="B504" s="47"/>
      <c r="F504" s="97"/>
      <c r="G504" s="97"/>
      <c r="H504" s="48"/>
    </row>
    <row r="505">
      <c r="B505" s="47"/>
      <c r="F505" s="97"/>
      <c r="G505" s="97"/>
      <c r="H505" s="48"/>
    </row>
    <row r="506">
      <c r="B506" s="47"/>
      <c r="F506" s="97"/>
      <c r="G506" s="97"/>
      <c r="H506" s="48"/>
    </row>
    <row r="507">
      <c r="B507" s="47"/>
      <c r="F507" s="97"/>
      <c r="G507" s="97"/>
      <c r="H507" s="48"/>
    </row>
    <row r="508">
      <c r="B508" s="47"/>
      <c r="F508" s="97"/>
      <c r="G508" s="97"/>
      <c r="H508" s="48"/>
    </row>
    <row r="509">
      <c r="B509" s="47"/>
      <c r="F509" s="97"/>
      <c r="G509" s="97"/>
      <c r="H509" s="48"/>
    </row>
    <row r="510">
      <c r="B510" s="47"/>
      <c r="F510" s="97"/>
      <c r="G510" s="97"/>
      <c r="H510" s="48"/>
    </row>
    <row r="511">
      <c r="B511" s="47"/>
      <c r="F511" s="97"/>
      <c r="G511" s="97"/>
      <c r="H511" s="48"/>
    </row>
    <row r="512">
      <c r="B512" s="47"/>
      <c r="F512" s="97"/>
      <c r="G512" s="97"/>
      <c r="H512" s="48"/>
    </row>
    <row r="513">
      <c r="B513" s="47"/>
      <c r="F513" s="97"/>
      <c r="G513" s="97"/>
      <c r="H513" s="48"/>
    </row>
    <row r="514">
      <c r="B514" s="47"/>
      <c r="F514" s="97"/>
      <c r="G514" s="97"/>
      <c r="H514" s="48"/>
    </row>
    <row r="515">
      <c r="B515" s="47"/>
      <c r="F515" s="97"/>
      <c r="G515" s="97"/>
      <c r="H515" s="48"/>
    </row>
    <row r="516">
      <c r="B516" s="47"/>
      <c r="F516" s="97"/>
      <c r="G516" s="97"/>
      <c r="H516" s="48"/>
    </row>
    <row r="517">
      <c r="B517" s="47"/>
      <c r="F517" s="97"/>
      <c r="G517" s="97"/>
      <c r="H517" s="48"/>
    </row>
    <row r="518">
      <c r="B518" s="47"/>
      <c r="F518" s="97"/>
      <c r="G518" s="97"/>
      <c r="H518" s="48"/>
    </row>
    <row r="519">
      <c r="B519" s="47"/>
      <c r="F519" s="97"/>
      <c r="G519" s="97"/>
      <c r="H519" s="48"/>
    </row>
    <row r="520">
      <c r="B520" s="47"/>
      <c r="F520" s="97"/>
      <c r="G520" s="97"/>
      <c r="H520" s="48"/>
    </row>
    <row r="521">
      <c r="B521" s="47"/>
      <c r="F521" s="97"/>
      <c r="G521" s="97"/>
      <c r="H521" s="48"/>
    </row>
    <row r="522">
      <c r="B522" s="47"/>
      <c r="F522" s="97"/>
      <c r="G522" s="97"/>
      <c r="H522" s="48"/>
    </row>
    <row r="523">
      <c r="B523" s="47"/>
      <c r="F523" s="97"/>
      <c r="G523" s="97"/>
      <c r="H523" s="48"/>
    </row>
    <row r="524">
      <c r="B524" s="47"/>
      <c r="F524" s="97"/>
      <c r="G524" s="97"/>
      <c r="H524" s="48"/>
    </row>
    <row r="525">
      <c r="B525" s="47"/>
      <c r="F525" s="97"/>
      <c r="G525" s="97"/>
      <c r="H525" s="48"/>
    </row>
    <row r="526">
      <c r="B526" s="47"/>
      <c r="F526" s="97"/>
      <c r="G526" s="97"/>
      <c r="H526" s="48"/>
    </row>
    <row r="527">
      <c r="B527" s="47"/>
      <c r="F527" s="97"/>
      <c r="G527" s="97"/>
      <c r="H527" s="48"/>
    </row>
    <row r="528">
      <c r="B528" s="47"/>
      <c r="F528" s="97"/>
      <c r="G528" s="97"/>
      <c r="H528" s="48"/>
    </row>
    <row r="529">
      <c r="B529" s="47"/>
      <c r="F529" s="97"/>
      <c r="G529" s="97"/>
      <c r="H529" s="48"/>
    </row>
    <row r="530">
      <c r="B530" s="47"/>
      <c r="F530" s="97"/>
      <c r="G530" s="97"/>
      <c r="H530" s="48"/>
    </row>
    <row r="531">
      <c r="B531" s="47"/>
      <c r="F531" s="97"/>
      <c r="G531" s="97"/>
      <c r="H531" s="48"/>
    </row>
    <row r="532">
      <c r="B532" s="47"/>
      <c r="F532" s="97"/>
      <c r="G532" s="97"/>
      <c r="H532" s="48"/>
    </row>
    <row r="533">
      <c r="B533" s="47"/>
      <c r="F533" s="97"/>
      <c r="G533" s="97"/>
      <c r="H533" s="48"/>
    </row>
    <row r="534">
      <c r="B534" s="47"/>
      <c r="F534" s="97"/>
      <c r="G534" s="97"/>
      <c r="H534" s="48"/>
    </row>
    <row r="535">
      <c r="B535" s="47"/>
      <c r="F535" s="97"/>
      <c r="G535" s="97"/>
      <c r="H535" s="48"/>
    </row>
    <row r="536">
      <c r="B536" s="47"/>
      <c r="F536" s="97"/>
      <c r="G536" s="97"/>
      <c r="H536" s="48"/>
    </row>
    <row r="537">
      <c r="B537" s="47"/>
      <c r="F537" s="97"/>
      <c r="G537" s="97"/>
      <c r="H537" s="48"/>
    </row>
    <row r="538">
      <c r="B538" s="47"/>
      <c r="F538" s="97"/>
      <c r="G538" s="97"/>
      <c r="H538" s="48"/>
    </row>
    <row r="539">
      <c r="B539" s="47"/>
      <c r="F539" s="97"/>
      <c r="G539" s="97"/>
      <c r="H539" s="48"/>
    </row>
    <row r="540">
      <c r="B540" s="47"/>
      <c r="F540" s="97"/>
      <c r="G540" s="97"/>
      <c r="H540" s="48"/>
    </row>
    <row r="541">
      <c r="B541" s="47"/>
      <c r="F541" s="97"/>
      <c r="G541" s="97"/>
      <c r="H541" s="48"/>
    </row>
    <row r="542">
      <c r="B542" s="47"/>
      <c r="F542" s="97"/>
      <c r="G542" s="97"/>
      <c r="H542" s="48"/>
    </row>
    <row r="543">
      <c r="B543" s="47"/>
      <c r="F543" s="97"/>
      <c r="G543" s="97"/>
      <c r="H543" s="48"/>
    </row>
    <row r="544">
      <c r="B544" s="47"/>
      <c r="F544" s="97"/>
      <c r="G544" s="97"/>
      <c r="H544" s="48"/>
    </row>
    <row r="545">
      <c r="B545" s="47"/>
      <c r="F545" s="97"/>
      <c r="G545" s="97"/>
      <c r="H545" s="48"/>
    </row>
    <row r="546">
      <c r="B546" s="47"/>
      <c r="F546" s="97"/>
      <c r="G546" s="97"/>
      <c r="H546" s="48"/>
    </row>
    <row r="547">
      <c r="B547" s="47"/>
      <c r="F547" s="97"/>
      <c r="G547" s="97"/>
      <c r="H547" s="48"/>
    </row>
    <row r="548">
      <c r="B548" s="47"/>
      <c r="F548" s="97"/>
      <c r="G548" s="97"/>
      <c r="H548" s="48"/>
    </row>
    <row r="549">
      <c r="B549" s="47"/>
      <c r="F549" s="97"/>
      <c r="G549" s="97"/>
      <c r="H549" s="48"/>
    </row>
    <row r="550">
      <c r="B550" s="47"/>
      <c r="F550" s="97"/>
      <c r="G550" s="97"/>
      <c r="H550" s="48"/>
    </row>
    <row r="551">
      <c r="B551" s="47"/>
      <c r="F551" s="97"/>
      <c r="G551" s="97"/>
      <c r="H551" s="48"/>
    </row>
    <row r="552">
      <c r="B552" s="47"/>
      <c r="F552" s="97"/>
      <c r="G552" s="97"/>
      <c r="H552" s="48"/>
    </row>
    <row r="553">
      <c r="B553" s="47"/>
      <c r="F553" s="97"/>
      <c r="G553" s="97"/>
      <c r="H553" s="48"/>
    </row>
    <row r="554">
      <c r="B554" s="47"/>
      <c r="F554" s="97"/>
      <c r="G554" s="97"/>
      <c r="H554" s="48"/>
    </row>
    <row r="555">
      <c r="B555" s="47"/>
      <c r="F555" s="97"/>
      <c r="G555" s="97"/>
      <c r="H555" s="48"/>
    </row>
    <row r="556">
      <c r="B556" s="47"/>
      <c r="F556" s="97"/>
      <c r="G556" s="97"/>
      <c r="H556" s="48"/>
    </row>
    <row r="557">
      <c r="B557" s="47"/>
      <c r="F557" s="97"/>
      <c r="G557" s="97"/>
      <c r="H557" s="48"/>
    </row>
    <row r="558">
      <c r="B558" s="47"/>
      <c r="F558" s="97"/>
      <c r="G558" s="97"/>
      <c r="H558" s="48"/>
    </row>
    <row r="559">
      <c r="B559" s="47"/>
      <c r="F559" s="97"/>
      <c r="G559" s="97"/>
      <c r="H559" s="48"/>
    </row>
    <row r="560">
      <c r="B560" s="47"/>
      <c r="F560" s="97"/>
      <c r="G560" s="97"/>
      <c r="H560" s="48"/>
    </row>
    <row r="561">
      <c r="B561" s="47"/>
      <c r="F561" s="97"/>
      <c r="G561" s="97"/>
      <c r="H561" s="48"/>
    </row>
    <row r="562">
      <c r="B562" s="47"/>
      <c r="F562" s="97"/>
      <c r="G562" s="97"/>
      <c r="H562" s="48"/>
    </row>
    <row r="563">
      <c r="B563" s="47"/>
      <c r="F563" s="97"/>
      <c r="G563" s="97"/>
      <c r="H563" s="48"/>
    </row>
    <row r="564">
      <c r="B564" s="47"/>
      <c r="F564" s="97"/>
      <c r="G564" s="97"/>
      <c r="H564" s="48"/>
    </row>
    <row r="565">
      <c r="B565" s="47"/>
      <c r="F565" s="97"/>
      <c r="G565" s="97"/>
      <c r="H565" s="48"/>
    </row>
    <row r="566">
      <c r="B566" s="47"/>
      <c r="F566" s="97"/>
      <c r="G566" s="97"/>
      <c r="H566" s="48"/>
    </row>
    <row r="567">
      <c r="B567" s="47"/>
      <c r="F567" s="97"/>
      <c r="G567" s="97"/>
      <c r="H567" s="48"/>
    </row>
    <row r="568">
      <c r="B568" s="47"/>
      <c r="F568" s="97"/>
      <c r="G568" s="97"/>
      <c r="H568" s="48"/>
    </row>
    <row r="569">
      <c r="B569" s="47"/>
      <c r="F569" s="97"/>
      <c r="G569" s="97"/>
      <c r="H569" s="48"/>
    </row>
    <row r="570">
      <c r="B570" s="47"/>
      <c r="F570" s="97"/>
      <c r="G570" s="97"/>
      <c r="H570" s="48"/>
    </row>
    <row r="571">
      <c r="B571" s="47"/>
      <c r="F571" s="97"/>
      <c r="G571" s="97"/>
      <c r="H571" s="48"/>
    </row>
    <row r="572">
      <c r="B572" s="47"/>
      <c r="F572" s="97"/>
      <c r="G572" s="97"/>
      <c r="H572" s="48"/>
    </row>
    <row r="573">
      <c r="B573" s="47"/>
      <c r="F573" s="97"/>
      <c r="G573" s="97"/>
      <c r="H573" s="48"/>
    </row>
    <row r="574">
      <c r="B574" s="47"/>
      <c r="F574" s="97"/>
      <c r="G574" s="97"/>
      <c r="H574" s="48"/>
    </row>
    <row r="575">
      <c r="B575" s="47"/>
      <c r="F575" s="97"/>
      <c r="G575" s="97"/>
      <c r="H575" s="48"/>
    </row>
    <row r="576">
      <c r="B576" s="47"/>
      <c r="F576" s="97"/>
      <c r="G576" s="97"/>
      <c r="H576" s="48"/>
    </row>
    <row r="577">
      <c r="B577" s="47"/>
      <c r="F577" s="97"/>
      <c r="G577" s="97"/>
      <c r="H577" s="48"/>
    </row>
    <row r="578">
      <c r="B578" s="47"/>
      <c r="F578" s="97"/>
      <c r="G578" s="97"/>
      <c r="H578" s="48"/>
    </row>
    <row r="579">
      <c r="B579" s="47"/>
      <c r="F579" s="97"/>
      <c r="G579" s="97"/>
      <c r="H579" s="48"/>
    </row>
    <row r="580">
      <c r="B580" s="47"/>
      <c r="F580" s="97"/>
      <c r="G580" s="97"/>
      <c r="H580" s="48"/>
    </row>
    <row r="581">
      <c r="B581" s="47"/>
      <c r="F581" s="97"/>
      <c r="G581" s="97"/>
      <c r="H581" s="48"/>
    </row>
    <row r="582">
      <c r="B582" s="47"/>
      <c r="F582" s="97"/>
      <c r="G582" s="97"/>
      <c r="H582" s="48"/>
    </row>
    <row r="583">
      <c r="B583" s="47"/>
      <c r="F583" s="97"/>
      <c r="G583" s="97"/>
      <c r="H583" s="48"/>
    </row>
    <row r="584">
      <c r="B584" s="47"/>
      <c r="F584" s="97"/>
      <c r="G584" s="97"/>
      <c r="H584" s="48"/>
    </row>
    <row r="585">
      <c r="B585" s="47"/>
      <c r="F585" s="97"/>
      <c r="G585" s="97"/>
      <c r="H585" s="48"/>
    </row>
    <row r="586">
      <c r="B586" s="47"/>
      <c r="F586" s="97"/>
      <c r="G586" s="97"/>
      <c r="H586" s="48"/>
    </row>
    <row r="587">
      <c r="B587" s="47"/>
      <c r="F587" s="97"/>
      <c r="G587" s="97"/>
      <c r="H587" s="48"/>
    </row>
    <row r="588">
      <c r="B588" s="47"/>
      <c r="F588" s="97"/>
      <c r="G588" s="97"/>
      <c r="H588" s="48"/>
    </row>
    <row r="589">
      <c r="B589" s="47"/>
      <c r="F589" s="97"/>
      <c r="G589" s="97"/>
      <c r="H589" s="48"/>
    </row>
    <row r="590">
      <c r="B590" s="47"/>
      <c r="F590" s="97"/>
      <c r="G590" s="97"/>
      <c r="H590" s="48"/>
    </row>
    <row r="591">
      <c r="B591" s="47"/>
      <c r="F591" s="97"/>
      <c r="G591" s="97"/>
      <c r="H591" s="48"/>
    </row>
    <row r="592">
      <c r="B592" s="47"/>
      <c r="F592" s="97"/>
      <c r="G592" s="97"/>
      <c r="H592" s="48"/>
    </row>
    <row r="593">
      <c r="B593" s="47"/>
      <c r="F593" s="97"/>
      <c r="G593" s="97"/>
      <c r="H593" s="48"/>
    </row>
    <row r="594">
      <c r="B594" s="47"/>
      <c r="F594" s="97"/>
      <c r="G594" s="97"/>
      <c r="H594" s="48"/>
    </row>
    <row r="595">
      <c r="B595" s="47"/>
      <c r="F595" s="97"/>
      <c r="G595" s="97"/>
      <c r="H595" s="48"/>
    </row>
    <row r="596">
      <c r="B596" s="47"/>
      <c r="F596" s="97"/>
      <c r="G596" s="97"/>
      <c r="H596" s="48"/>
    </row>
    <row r="597">
      <c r="B597" s="47"/>
      <c r="F597" s="97"/>
      <c r="G597" s="97"/>
      <c r="H597" s="48"/>
    </row>
    <row r="598">
      <c r="B598" s="47"/>
      <c r="F598" s="97"/>
      <c r="G598" s="97"/>
      <c r="H598" s="48"/>
    </row>
    <row r="599">
      <c r="B599" s="47"/>
      <c r="F599" s="97"/>
      <c r="G599" s="97"/>
      <c r="H599" s="48"/>
    </row>
    <row r="600">
      <c r="B600" s="47"/>
      <c r="F600" s="97"/>
      <c r="G600" s="97"/>
      <c r="H600" s="48"/>
    </row>
    <row r="601">
      <c r="B601" s="47"/>
      <c r="F601" s="97"/>
      <c r="G601" s="97"/>
      <c r="H601" s="48"/>
    </row>
    <row r="602">
      <c r="B602" s="47"/>
      <c r="F602" s="97"/>
      <c r="G602" s="97"/>
      <c r="H602" s="48"/>
    </row>
    <row r="603">
      <c r="B603" s="47"/>
      <c r="F603" s="97"/>
      <c r="G603" s="97"/>
      <c r="H603" s="48"/>
    </row>
    <row r="604">
      <c r="B604" s="47"/>
      <c r="F604" s="97"/>
      <c r="G604" s="97"/>
      <c r="H604" s="48"/>
    </row>
    <row r="605">
      <c r="B605" s="47"/>
      <c r="F605" s="97"/>
      <c r="G605" s="97"/>
      <c r="H605" s="48"/>
    </row>
    <row r="606">
      <c r="B606" s="47"/>
      <c r="F606" s="97"/>
      <c r="G606" s="97"/>
      <c r="H606" s="48"/>
    </row>
    <row r="607">
      <c r="B607" s="47"/>
      <c r="F607" s="97"/>
      <c r="G607" s="97"/>
      <c r="H607" s="48"/>
    </row>
    <row r="608">
      <c r="B608" s="47"/>
      <c r="F608" s="97"/>
      <c r="G608" s="97"/>
      <c r="H608" s="48"/>
    </row>
    <row r="609">
      <c r="B609" s="47"/>
      <c r="F609" s="97"/>
      <c r="G609" s="97"/>
      <c r="H609" s="48"/>
    </row>
    <row r="610">
      <c r="B610" s="47"/>
      <c r="F610" s="97"/>
      <c r="G610" s="97"/>
      <c r="H610" s="48"/>
    </row>
    <row r="611">
      <c r="B611" s="47"/>
      <c r="F611" s="97"/>
      <c r="G611" s="97"/>
      <c r="H611" s="48"/>
    </row>
    <row r="612">
      <c r="B612" s="47"/>
      <c r="F612" s="97"/>
      <c r="G612" s="97"/>
      <c r="H612" s="48"/>
    </row>
    <row r="613">
      <c r="B613" s="47"/>
      <c r="F613" s="97"/>
      <c r="G613" s="97"/>
      <c r="H613" s="48"/>
    </row>
    <row r="614">
      <c r="B614" s="47"/>
      <c r="F614" s="97"/>
      <c r="G614" s="97"/>
      <c r="H614" s="48"/>
    </row>
    <row r="615">
      <c r="B615" s="47"/>
      <c r="F615" s="97"/>
      <c r="G615" s="97"/>
      <c r="H615" s="48"/>
    </row>
    <row r="616">
      <c r="B616" s="47"/>
      <c r="F616" s="97"/>
      <c r="G616" s="97"/>
      <c r="H616" s="48"/>
    </row>
    <row r="617">
      <c r="B617" s="47"/>
      <c r="F617" s="97"/>
      <c r="G617" s="97"/>
      <c r="H617" s="48"/>
    </row>
    <row r="618">
      <c r="B618" s="47"/>
      <c r="F618" s="97"/>
      <c r="G618" s="97"/>
      <c r="H618" s="48"/>
    </row>
    <row r="619">
      <c r="B619" s="47"/>
      <c r="F619" s="97"/>
      <c r="G619" s="97"/>
      <c r="H619" s="48"/>
    </row>
    <row r="620">
      <c r="B620" s="47"/>
      <c r="F620" s="97"/>
      <c r="G620" s="97"/>
      <c r="H620" s="48"/>
    </row>
    <row r="621">
      <c r="B621" s="47"/>
      <c r="F621" s="97"/>
      <c r="G621" s="97"/>
      <c r="H621" s="48"/>
    </row>
    <row r="622">
      <c r="B622" s="47"/>
      <c r="F622" s="97"/>
      <c r="G622" s="97"/>
      <c r="H622" s="48"/>
    </row>
    <row r="623">
      <c r="B623" s="47"/>
      <c r="F623" s="97"/>
      <c r="G623" s="97"/>
      <c r="H623" s="48"/>
    </row>
    <row r="624">
      <c r="B624" s="47"/>
      <c r="F624" s="97"/>
      <c r="G624" s="97"/>
      <c r="H624" s="48"/>
    </row>
    <row r="625">
      <c r="B625" s="47"/>
      <c r="F625" s="97"/>
      <c r="G625" s="97"/>
      <c r="H625" s="48"/>
    </row>
    <row r="626">
      <c r="B626" s="47"/>
      <c r="F626" s="97"/>
      <c r="G626" s="97"/>
      <c r="H626" s="48"/>
    </row>
    <row r="627">
      <c r="B627" s="47"/>
      <c r="F627" s="97"/>
      <c r="G627" s="97"/>
      <c r="H627" s="48"/>
    </row>
    <row r="628">
      <c r="B628" s="47"/>
      <c r="F628" s="97"/>
      <c r="G628" s="97"/>
      <c r="H628" s="48"/>
    </row>
    <row r="629">
      <c r="B629" s="47"/>
      <c r="F629" s="97"/>
      <c r="G629" s="97"/>
      <c r="H629" s="48"/>
    </row>
    <row r="630">
      <c r="B630" s="47"/>
      <c r="F630" s="97"/>
      <c r="G630" s="97"/>
      <c r="H630" s="48"/>
    </row>
    <row r="631">
      <c r="B631" s="47"/>
      <c r="F631" s="97"/>
      <c r="G631" s="97"/>
      <c r="H631" s="48"/>
    </row>
    <row r="632">
      <c r="B632" s="47"/>
      <c r="F632" s="97"/>
      <c r="G632" s="97"/>
      <c r="H632" s="48"/>
    </row>
    <row r="633">
      <c r="B633" s="47"/>
      <c r="F633" s="97"/>
      <c r="G633" s="97"/>
      <c r="H633" s="48"/>
    </row>
    <row r="634">
      <c r="B634" s="47"/>
      <c r="F634" s="97"/>
      <c r="G634" s="97"/>
      <c r="H634" s="48"/>
    </row>
    <row r="635">
      <c r="B635" s="47"/>
      <c r="F635" s="97"/>
      <c r="G635" s="97"/>
      <c r="H635" s="48"/>
    </row>
    <row r="636">
      <c r="B636" s="47"/>
      <c r="F636" s="97"/>
      <c r="G636" s="97"/>
      <c r="H636" s="48"/>
    </row>
    <row r="637">
      <c r="B637" s="47"/>
      <c r="F637" s="97"/>
      <c r="G637" s="97"/>
      <c r="H637" s="48"/>
    </row>
    <row r="638">
      <c r="B638" s="47"/>
      <c r="F638" s="97"/>
      <c r="G638" s="97"/>
      <c r="H638" s="48"/>
    </row>
    <row r="639">
      <c r="B639" s="47"/>
      <c r="F639" s="97"/>
      <c r="G639" s="97"/>
      <c r="H639" s="48"/>
    </row>
    <row r="640">
      <c r="B640" s="47"/>
      <c r="F640" s="97"/>
      <c r="G640" s="97"/>
      <c r="H640" s="48"/>
    </row>
    <row r="641">
      <c r="B641" s="47"/>
      <c r="F641" s="97"/>
      <c r="G641" s="97"/>
      <c r="H641" s="48"/>
    </row>
    <row r="642">
      <c r="B642" s="47"/>
      <c r="F642" s="97"/>
      <c r="G642" s="97"/>
      <c r="H642" s="48"/>
    </row>
    <row r="643">
      <c r="B643" s="47"/>
      <c r="F643" s="97"/>
      <c r="G643" s="97"/>
      <c r="H643" s="48"/>
    </row>
    <row r="644">
      <c r="B644" s="47"/>
      <c r="F644" s="97"/>
      <c r="G644" s="97"/>
      <c r="H644" s="48"/>
    </row>
    <row r="645">
      <c r="B645" s="47"/>
      <c r="F645" s="97"/>
      <c r="G645" s="97"/>
      <c r="H645" s="48"/>
    </row>
    <row r="646">
      <c r="B646" s="47"/>
      <c r="F646" s="97"/>
      <c r="G646" s="97"/>
      <c r="H646" s="48"/>
    </row>
    <row r="647">
      <c r="B647" s="47"/>
      <c r="F647" s="97"/>
      <c r="G647" s="97"/>
      <c r="H647" s="48"/>
    </row>
    <row r="648">
      <c r="B648" s="47"/>
      <c r="F648" s="97"/>
      <c r="G648" s="97"/>
      <c r="H648" s="48"/>
    </row>
    <row r="649">
      <c r="B649" s="47"/>
      <c r="F649" s="97"/>
      <c r="G649" s="97"/>
      <c r="H649" s="48"/>
    </row>
    <row r="650">
      <c r="B650" s="47"/>
      <c r="F650" s="97"/>
      <c r="G650" s="97"/>
      <c r="H650" s="48"/>
    </row>
    <row r="651">
      <c r="B651" s="47"/>
      <c r="F651" s="97"/>
      <c r="G651" s="97"/>
      <c r="H651" s="48"/>
    </row>
    <row r="652">
      <c r="B652" s="47"/>
      <c r="F652" s="97"/>
      <c r="G652" s="97"/>
      <c r="H652" s="48"/>
    </row>
    <row r="653">
      <c r="B653" s="47"/>
      <c r="F653" s="97"/>
      <c r="G653" s="97"/>
      <c r="H653" s="48"/>
    </row>
    <row r="654">
      <c r="B654" s="47"/>
      <c r="F654" s="97"/>
      <c r="G654" s="97"/>
      <c r="H654" s="48"/>
    </row>
    <row r="655">
      <c r="B655" s="47"/>
      <c r="F655" s="97"/>
      <c r="G655" s="97"/>
      <c r="H655" s="48"/>
    </row>
    <row r="656">
      <c r="B656" s="47"/>
      <c r="F656" s="97"/>
      <c r="G656" s="97"/>
      <c r="H656" s="48"/>
    </row>
    <row r="657">
      <c r="B657" s="47"/>
      <c r="F657" s="97"/>
      <c r="G657" s="97"/>
      <c r="H657" s="48"/>
    </row>
    <row r="658">
      <c r="B658" s="47"/>
      <c r="F658" s="97"/>
      <c r="G658" s="97"/>
      <c r="H658" s="48"/>
    </row>
    <row r="659">
      <c r="B659" s="47"/>
      <c r="F659" s="97"/>
      <c r="G659" s="97"/>
      <c r="H659" s="48"/>
    </row>
    <row r="660">
      <c r="B660" s="47"/>
      <c r="F660" s="97"/>
      <c r="G660" s="97"/>
      <c r="H660" s="48"/>
    </row>
    <row r="661">
      <c r="B661" s="47"/>
      <c r="F661" s="97"/>
      <c r="G661" s="97"/>
      <c r="H661" s="48"/>
    </row>
    <row r="662">
      <c r="B662" s="47"/>
      <c r="F662" s="97"/>
      <c r="G662" s="97"/>
      <c r="H662" s="48"/>
    </row>
    <row r="663">
      <c r="B663" s="47"/>
      <c r="F663" s="97"/>
      <c r="G663" s="97"/>
      <c r="H663" s="48"/>
    </row>
    <row r="664">
      <c r="B664" s="47"/>
      <c r="F664" s="97"/>
      <c r="G664" s="97"/>
      <c r="H664" s="48"/>
    </row>
    <row r="665">
      <c r="B665" s="47"/>
      <c r="F665" s="97"/>
      <c r="G665" s="97"/>
      <c r="H665" s="48"/>
    </row>
    <row r="666">
      <c r="B666" s="47"/>
      <c r="F666" s="97"/>
      <c r="G666" s="97"/>
      <c r="H666" s="48"/>
    </row>
    <row r="667">
      <c r="B667" s="47"/>
      <c r="F667" s="97"/>
      <c r="G667" s="97"/>
      <c r="H667" s="48"/>
    </row>
    <row r="668">
      <c r="B668" s="47"/>
      <c r="F668" s="97"/>
      <c r="G668" s="97"/>
      <c r="H668" s="48"/>
    </row>
    <row r="669">
      <c r="B669" s="47"/>
      <c r="F669" s="97"/>
      <c r="G669" s="97"/>
      <c r="H669" s="48"/>
    </row>
    <row r="670">
      <c r="B670" s="47"/>
      <c r="F670" s="97"/>
      <c r="G670" s="97"/>
      <c r="H670" s="48"/>
    </row>
    <row r="671">
      <c r="B671" s="47"/>
      <c r="F671" s="97"/>
      <c r="G671" s="97"/>
      <c r="H671" s="48"/>
    </row>
    <row r="672">
      <c r="B672" s="47"/>
      <c r="F672" s="97"/>
      <c r="G672" s="97"/>
      <c r="H672" s="48"/>
    </row>
    <row r="673">
      <c r="B673" s="47"/>
      <c r="F673" s="97"/>
      <c r="G673" s="97"/>
      <c r="H673" s="48"/>
    </row>
    <row r="674">
      <c r="B674" s="47"/>
      <c r="F674" s="97"/>
      <c r="G674" s="97"/>
      <c r="H674" s="48"/>
    </row>
    <row r="675">
      <c r="B675" s="47"/>
      <c r="F675" s="97"/>
      <c r="G675" s="97"/>
      <c r="H675" s="48"/>
    </row>
    <row r="676">
      <c r="B676" s="47"/>
      <c r="F676" s="97"/>
      <c r="G676" s="97"/>
      <c r="H676" s="48"/>
    </row>
    <row r="677">
      <c r="B677" s="47"/>
      <c r="F677" s="97"/>
      <c r="G677" s="97"/>
      <c r="H677" s="48"/>
    </row>
    <row r="678">
      <c r="B678" s="47"/>
      <c r="F678" s="97"/>
      <c r="G678" s="97"/>
      <c r="H678" s="48"/>
    </row>
    <row r="679">
      <c r="B679" s="47"/>
      <c r="F679" s="97"/>
      <c r="G679" s="97"/>
      <c r="H679" s="48"/>
    </row>
    <row r="680">
      <c r="B680" s="47"/>
      <c r="F680" s="97"/>
      <c r="G680" s="97"/>
      <c r="H680" s="48"/>
    </row>
    <row r="681">
      <c r="B681" s="47"/>
      <c r="F681" s="97"/>
      <c r="G681" s="97"/>
      <c r="H681" s="48"/>
    </row>
    <row r="682">
      <c r="B682" s="47"/>
      <c r="F682" s="97"/>
      <c r="G682" s="97"/>
      <c r="H682" s="48"/>
    </row>
    <row r="683">
      <c r="B683" s="47"/>
      <c r="F683" s="97"/>
      <c r="G683" s="97"/>
      <c r="H683" s="48"/>
    </row>
    <row r="684">
      <c r="B684" s="47"/>
      <c r="F684" s="97"/>
      <c r="G684" s="97"/>
      <c r="H684" s="48"/>
    </row>
    <row r="685">
      <c r="B685" s="47"/>
      <c r="F685" s="97"/>
      <c r="G685" s="97"/>
      <c r="H685" s="48"/>
    </row>
    <row r="686">
      <c r="B686" s="47"/>
      <c r="F686" s="97"/>
      <c r="G686" s="97"/>
      <c r="H686" s="48"/>
    </row>
    <row r="687">
      <c r="B687" s="47"/>
      <c r="F687" s="97"/>
      <c r="G687" s="97"/>
      <c r="H687" s="48"/>
    </row>
    <row r="688">
      <c r="B688" s="47"/>
      <c r="F688" s="97"/>
      <c r="G688" s="97"/>
      <c r="H688" s="48"/>
    </row>
    <row r="689">
      <c r="B689" s="47"/>
      <c r="F689" s="97"/>
      <c r="G689" s="97"/>
      <c r="H689" s="48"/>
    </row>
    <row r="690">
      <c r="B690" s="47"/>
      <c r="F690" s="97"/>
      <c r="G690" s="97"/>
      <c r="H690" s="48"/>
    </row>
    <row r="691">
      <c r="B691" s="47"/>
      <c r="F691" s="97"/>
      <c r="G691" s="97"/>
      <c r="H691" s="48"/>
    </row>
    <row r="692">
      <c r="B692" s="47"/>
      <c r="F692" s="97"/>
      <c r="G692" s="97"/>
      <c r="H692" s="48"/>
    </row>
    <row r="693">
      <c r="B693" s="47"/>
      <c r="F693" s="97"/>
      <c r="G693" s="97"/>
      <c r="H693" s="48"/>
    </row>
    <row r="694">
      <c r="B694" s="47"/>
      <c r="F694" s="97"/>
      <c r="G694" s="97"/>
      <c r="H694" s="48"/>
    </row>
    <row r="695">
      <c r="B695" s="47"/>
      <c r="F695" s="97"/>
      <c r="G695" s="97"/>
      <c r="H695" s="48"/>
    </row>
    <row r="696">
      <c r="B696" s="47"/>
      <c r="F696" s="97"/>
      <c r="G696" s="97"/>
      <c r="H696" s="48"/>
    </row>
    <row r="697">
      <c r="B697" s="47"/>
      <c r="F697" s="97"/>
      <c r="G697" s="97"/>
      <c r="H697" s="48"/>
    </row>
    <row r="698">
      <c r="B698" s="47"/>
      <c r="F698" s="97"/>
      <c r="G698" s="97"/>
      <c r="H698" s="48"/>
    </row>
    <row r="699">
      <c r="B699" s="47"/>
      <c r="F699" s="97"/>
      <c r="G699" s="97"/>
      <c r="H699" s="48"/>
    </row>
    <row r="700">
      <c r="B700" s="47"/>
      <c r="F700" s="97"/>
      <c r="G700" s="97"/>
      <c r="H700" s="48"/>
    </row>
    <row r="701">
      <c r="B701" s="47"/>
      <c r="F701" s="97"/>
      <c r="G701" s="97"/>
      <c r="H701" s="48"/>
    </row>
    <row r="702">
      <c r="B702" s="47"/>
      <c r="F702" s="97"/>
      <c r="G702" s="97"/>
      <c r="H702" s="48"/>
    </row>
    <row r="703">
      <c r="B703" s="47"/>
      <c r="F703" s="97"/>
      <c r="G703" s="97"/>
      <c r="H703" s="48"/>
    </row>
    <row r="704">
      <c r="B704" s="47"/>
      <c r="F704" s="97"/>
      <c r="G704" s="97"/>
      <c r="H704" s="48"/>
    </row>
    <row r="705">
      <c r="B705" s="47"/>
      <c r="F705" s="97"/>
      <c r="G705" s="97"/>
      <c r="H705" s="48"/>
    </row>
    <row r="706">
      <c r="B706" s="47"/>
      <c r="F706" s="97"/>
      <c r="G706" s="97"/>
      <c r="H706" s="48"/>
    </row>
    <row r="707">
      <c r="B707" s="47"/>
      <c r="F707" s="97"/>
      <c r="G707" s="97"/>
      <c r="H707" s="48"/>
    </row>
    <row r="708">
      <c r="B708" s="47"/>
      <c r="F708" s="97"/>
      <c r="G708" s="97"/>
      <c r="H708" s="48"/>
    </row>
    <row r="709">
      <c r="B709" s="47"/>
      <c r="F709" s="97"/>
      <c r="G709" s="97"/>
      <c r="H709" s="48"/>
    </row>
    <row r="710">
      <c r="B710" s="47"/>
      <c r="F710" s="97"/>
      <c r="G710" s="97"/>
      <c r="H710" s="48"/>
    </row>
    <row r="711">
      <c r="B711" s="47"/>
      <c r="F711" s="97"/>
      <c r="G711" s="97"/>
      <c r="H711" s="48"/>
    </row>
    <row r="712">
      <c r="B712" s="47"/>
      <c r="F712" s="97"/>
      <c r="G712" s="97"/>
      <c r="H712" s="48"/>
    </row>
    <row r="713">
      <c r="B713" s="47"/>
      <c r="F713" s="97"/>
      <c r="G713" s="97"/>
      <c r="H713" s="48"/>
    </row>
    <row r="714">
      <c r="B714" s="47"/>
      <c r="F714" s="97"/>
      <c r="G714" s="97"/>
      <c r="H714" s="48"/>
    </row>
    <row r="715">
      <c r="B715" s="47"/>
      <c r="F715" s="97"/>
      <c r="G715" s="97"/>
      <c r="H715" s="48"/>
    </row>
    <row r="716">
      <c r="B716" s="47"/>
      <c r="F716" s="97"/>
      <c r="G716" s="97"/>
      <c r="H716" s="48"/>
    </row>
    <row r="717">
      <c r="B717" s="47"/>
      <c r="F717" s="97"/>
      <c r="G717" s="97"/>
      <c r="H717" s="48"/>
    </row>
    <row r="718">
      <c r="B718" s="47"/>
      <c r="F718" s="97"/>
      <c r="G718" s="97"/>
      <c r="H718" s="48"/>
    </row>
    <row r="719">
      <c r="B719" s="47"/>
      <c r="F719" s="97"/>
      <c r="G719" s="97"/>
      <c r="H719" s="48"/>
    </row>
    <row r="720">
      <c r="B720" s="47"/>
      <c r="F720" s="97"/>
      <c r="G720" s="97"/>
      <c r="H720" s="48"/>
    </row>
    <row r="721">
      <c r="B721" s="47"/>
      <c r="F721" s="97"/>
      <c r="G721" s="97"/>
      <c r="H721" s="48"/>
    </row>
    <row r="722">
      <c r="B722" s="47"/>
      <c r="F722" s="97"/>
      <c r="G722" s="97"/>
      <c r="H722" s="48"/>
    </row>
    <row r="723">
      <c r="B723" s="47"/>
      <c r="F723" s="97"/>
      <c r="G723" s="97"/>
      <c r="H723" s="48"/>
    </row>
    <row r="724">
      <c r="B724" s="47"/>
      <c r="F724" s="97"/>
      <c r="G724" s="97"/>
      <c r="H724" s="48"/>
    </row>
    <row r="725">
      <c r="B725" s="47"/>
      <c r="F725" s="97"/>
      <c r="G725" s="97"/>
      <c r="H725" s="48"/>
    </row>
    <row r="726">
      <c r="B726" s="47"/>
      <c r="F726" s="97"/>
      <c r="G726" s="97"/>
      <c r="H726" s="48"/>
    </row>
    <row r="727">
      <c r="B727" s="47"/>
      <c r="F727" s="97"/>
      <c r="G727" s="97"/>
      <c r="H727" s="48"/>
    </row>
    <row r="728">
      <c r="B728" s="47"/>
      <c r="F728" s="97"/>
      <c r="G728" s="97"/>
      <c r="H728" s="48"/>
    </row>
    <row r="729">
      <c r="B729" s="47"/>
      <c r="F729" s="97"/>
      <c r="G729" s="97"/>
      <c r="H729" s="48"/>
    </row>
    <row r="730">
      <c r="B730" s="47"/>
      <c r="F730" s="97"/>
      <c r="G730" s="97"/>
      <c r="H730" s="48"/>
    </row>
    <row r="731">
      <c r="B731" s="47"/>
      <c r="F731" s="97"/>
      <c r="G731" s="97"/>
      <c r="H731" s="48"/>
    </row>
    <row r="732">
      <c r="B732" s="47"/>
      <c r="F732" s="97"/>
      <c r="G732" s="97"/>
      <c r="H732" s="48"/>
    </row>
    <row r="733">
      <c r="B733" s="47"/>
      <c r="F733" s="97"/>
      <c r="G733" s="97"/>
      <c r="H733" s="48"/>
    </row>
    <row r="734">
      <c r="B734" s="47"/>
      <c r="F734" s="97"/>
      <c r="G734" s="97"/>
      <c r="H734" s="48"/>
    </row>
    <row r="735">
      <c r="B735" s="47"/>
      <c r="F735" s="97"/>
      <c r="G735" s="97"/>
      <c r="H735" s="48"/>
    </row>
    <row r="736">
      <c r="B736" s="47"/>
      <c r="F736" s="97"/>
      <c r="G736" s="97"/>
      <c r="H736" s="48"/>
    </row>
    <row r="737">
      <c r="B737" s="47"/>
      <c r="F737" s="97"/>
      <c r="G737" s="97"/>
      <c r="H737" s="48"/>
    </row>
    <row r="738">
      <c r="B738" s="47"/>
      <c r="F738" s="97"/>
      <c r="G738" s="97"/>
      <c r="H738" s="48"/>
    </row>
    <row r="739">
      <c r="B739" s="47"/>
      <c r="F739" s="97"/>
      <c r="G739" s="97"/>
      <c r="H739" s="48"/>
    </row>
    <row r="740">
      <c r="B740" s="47"/>
      <c r="F740" s="97"/>
      <c r="G740" s="97"/>
      <c r="H740" s="48"/>
    </row>
    <row r="741">
      <c r="B741" s="47"/>
      <c r="F741" s="97"/>
      <c r="G741" s="97"/>
      <c r="H741" s="48"/>
    </row>
    <row r="742">
      <c r="B742" s="47"/>
      <c r="F742" s="97"/>
      <c r="G742" s="97"/>
      <c r="H742" s="48"/>
    </row>
    <row r="743">
      <c r="B743" s="47"/>
      <c r="F743" s="97"/>
      <c r="G743" s="97"/>
      <c r="H743" s="48"/>
    </row>
    <row r="744">
      <c r="B744" s="47"/>
      <c r="F744" s="97"/>
      <c r="G744" s="97"/>
      <c r="H744" s="48"/>
    </row>
    <row r="745">
      <c r="B745" s="47"/>
      <c r="F745" s="97"/>
      <c r="G745" s="97"/>
      <c r="H745" s="48"/>
    </row>
    <row r="746">
      <c r="B746" s="47"/>
      <c r="F746" s="97"/>
      <c r="G746" s="97"/>
      <c r="H746" s="48"/>
    </row>
    <row r="747">
      <c r="B747" s="47"/>
      <c r="F747" s="97"/>
      <c r="G747" s="97"/>
      <c r="H747" s="48"/>
    </row>
    <row r="748">
      <c r="B748" s="47"/>
      <c r="F748" s="97"/>
      <c r="G748" s="97"/>
      <c r="H748" s="48"/>
    </row>
    <row r="749">
      <c r="B749" s="47"/>
      <c r="F749" s="97"/>
      <c r="G749" s="97"/>
      <c r="H749" s="48"/>
    </row>
    <row r="750">
      <c r="B750" s="47"/>
      <c r="F750" s="97"/>
      <c r="G750" s="97"/>
      <c r="H750" s="48"/>
    </row>
    <row r="751">
      <c r="B751" s="47"/>
      <c r="F751" s="97"/>
      <c r="G751" s="97"/>
      <c r="H751" s="48"/>
    </row>
    <row r="752">
      <c r="B752" s="47"/>
      <c r="F752" s="97"/>
      <c r="G752" s="97"/>
      <c r="H752" s="48"/>
    </row>
    <row r="753">
      <c r="B753" s="47"/>
      <c r="F753" s="97"/>
      <c r="G753" s="97"/>
      <c r="H753" s="48"/>
    </row>
    <row r="754">
      <c r="B754" s="47"/>
      <c r="F754" s="97"/>
      <c r="G754" s="97"/>
      <c r="H754" s="48"/>
    </row>
    <row r="755">
      <c r="B755" s="47"/>
      <c r="F755" s="97"/>
      <c r="G755" s="97"/>
      <c r="H755" s="48"/>
    </row>
    <row r="756">
      <c r="B756" s="47"/>
      <c r="F756" s="97"/>
      <c r="G756" s="97"/>
      <c r="H756" s="48"/>
    </row>
    <row r="757">
      <c r="B757" s="47"/>
      <c r="F757" s="97"/>
      <c r="G757" s="97"/>
      <c r="H757" s="48"/>
    </row>
    <row r="758">
      <c r="B758" s="47"/>
      <c r="F758" s="97"/>
      <c r="G758" s="97"/>
      <c r="H758" s="48"/>
    </row>
    <row r="759">
      <c r="B759" s="47"/>
      <c r="F759" s="97"/>
      <c r="G759" s="97"/>
      <c r="H759" s="48"/>
    </row>
    <row r="760">
      <c r="B760" s="47"/>
      <c r="F760" s="97"/>
      <c r="G760" s="97"/>
      <c r="H760" s="48"/>
    </row>
    <row r="761">
      <c r="B761" s="47"/>
      <c r="F761" s="97"/>
      <c r="G761" s="97"/>
      <c r="H761" s="48"/>
    </row>
    <row r="762">
      <c r="B762" s="47"/>
      <c r="F762" s="97"/>
      <c r="G762" s="97"/>
      <c r="H762" s="48"/>
    </row>
    <row r="763">
      <c r="B763" s="47"/>
      <c r="F763" s="97"/>
      <c r="G763" s="97"/>
      <c r="H763" s="48"/>
    </row>
    <row r="764">
      <c r="B764" s="47"/>
      <c r="F764" s="97"/>
      <c r="G764" s="97"/>
      <c r="H764" s="48"/>
    </row>
    <row r="765">
      <c r="B765" s="47"/>
      <c r="F765" s="97"/>
      <c r="G765" s="97"/>
      <c r="H765" s="48"/>
    </row>
    <row r="766">
      <c r="B766" s="47"/>
      <c r="F766" s="97"/>
      <c r="G766" s="97"/>
      <c r="H766" s="48"/>
    </row>
    <row r="767">
      <c r="B767" s="47"/>
      <c r="F767" s="97"/>
      <c r="G767" s="97"/>
      <c r="H767" s="48"/>
    </row>
    <row r="768">
      <c r="B768" s="47"/>
      <c r="F768" s="97"/>
      <c r="G768" s="97"/>
      <c r="H768" s="48"/>
    </row>
    <row r="769">
      <c r="B769" s="47"/>
      <c r="F769" s="97"/>
      <c r="G769" s="97"/>
      <c r="H769" s="48"/>
    </row>
    <row r="770">
      <c r="B770" s="47"/>
      <c r="F770" s="97"/>
      <c r="G770" s="97"/>
      <c r="H770" s="48"/>
    </row>
    <row r="771">
      <c r="B771" s="47"/>
      <c r="F771" s="97"/>
      <c r="G771" s="97"/>
      <c r="H771" s="48"/>
    </row>
    <row r="772">
      <c r="B772" s="47"/>
      <c r="F772" s="97"/>
      <c r="G772" s="97"/>
      <c r="H772" s="48"/>
    </row>
    <row r="773">
      <c r="B773" s="47"/>
      <c r="F773" s="97"/>
      <c r="G773" s="97"/>
      <c r="H773" s="48"/>
    </row>
    <row r="774">
      <c r="B774" s="47"/>
      <c r="F774" s="97"/>
      <c r="G774" s="97"/>
      <c r="H774" s="48"/>
    </row>
    <row r="775">
      <c r="B775" s="47"/>
      <c r="F775" s="97"/>
      <c r="G775" s="97"/>
      <c r="H775" s="48"/>
    </row>
    <row r="776">
      <c r="B776" s="47"/>
      <c r="F776" s="97"/>
      <c r="G776" s="97"/>
      <c r="H776" s="48"/>
    </row>
    <row r="777">
      <c r="B777" s="47"/>
      <c r="F777" s="97"/>
      <c r="G777" s="97"/>
      <c r="H777" s="48"/>
    </row>
    <row r="778">
      <c r="B778" s="47"/>
      <c r="F778" s="97"/>
      <c r="G778" s="97"/>
      <c r="H778" s="48"/>
    </row>
    <row r="779">
      <c r="B779" s="47"/>
      <c r="F779" s="97"/>
      <c r="G779" s="97"/>
      <c r="H779" s="48"/>
    </row>
    <row r="780">
      <c r="B780" s="47"/>
      <c r="F780" s="97"/>
      <c r="G780" s="97"/>
      <c r="H780" s="48"/>
    </row>
    <row r="781">
      <c r="B781" s="47"/>
      <c r="F781" s="97"/>
      <c r="G781" s="97"/>
      <c r="H781" s="48"/>
    </row>
    <row r="782">
      <c r="B782" s="47"/>
      <c r="F782" s="97"/>
      <c r="G782" s="97"/>
      <c r="H782" s="48"/>
    </row>
    <row r="783">
      <c r="B783" s="47"/>
      <c r="F783" s="97"/>
      <c r="G783" s="97"/>
      <c r="H783" s="48"/>
    </row>
    <row r="784">
      <c r="B784" s="47"/>
      <c r="F784" s="97"/>
      <c r="G784" s="97"/>
      <c r="H784" s="48"/>
    </row>
    <row r="785">
      <c r="B785" s="47"/>
      <c r="F785" s="97"/>
      <c r="G785" s="97"/>
      <c r="H785" s="48"/>
    </row>
    <row r="786">
      <c r="B786" s="47"/>
      <c r="F786" s="97"/>
      <c r="G786" s="97"/>
      <c r="H786" s="48"/>
    </row>
    <row r="787">
      <c r="B787" s="47"/>
      <c r="F787" s="97"/>
      <c r="G787" s="97"/>
      <c r="H787" s="48"/>
    </row>
    <row r="788">
      <c r="B788" s="47"/>
      <c r="F788" s="97"/>
      <c r="G788" s="97"/>
      <c r="H788" s="48"/>
    </row>
    <row r="789">
      <c r="B789" s="47"/>
      <c r="F789" s="97"/>
      <c r="G789" s="97"/>
      <c r="H789" s="48"/>
    </row>
    <row r="790">
      <c r="B790" s="47"/>
      <c r="F790" s="97"/>
      <c r="G790" s="97"/>
      <c r="H790" s="48"/>
    </row>
    <row r="791">
      <c r="B791" s="47"/>
      <c r="F791" s="97"/>
      <c r="G791" s="97"/>
      <c r="H791" s="48"/>
    </row>
    <row r="792">
      <c r="B792" s="47"/>
      <c r="F792" s="97"/>
      <c r="G792" s="97"/>
      <c r="H792" s="48"/>
    </row>
    <row r="793">
      <c r="B793" s="47"/>
      <c r="F793" s="97"/>
      <c r="G793" s="97"/>
      <c r="H793" s="48"/>
    </row>
    <row r="794">
      <c r="B794" s="47"/>
      <c r="F794" s="97"/>
      <c r="G794" s="97"/>
      <c r="H794" s="48"/>
    </row>
    <row r="795">
      <c r="B795" s="47"/>
      <c r="F795" s="97"/>
      <c r="G795" s="97"/>
      <c r="H795" s="48"/>
    </row>
    <row r="796">
      <c r="B796" s="47"/>
      <c r="F796" s="97"/>
      <c r="G796" s="97"/>
      <c r="H796" s="48"/>
    </row>
    <row r="797">
      <c r="B797" s="47"/>
      <c r="F797" s="97"/>
      <c r="G797" s="97"/>
      <c r="H797" s="48"/>
    </row>
    <row r="798">
      <c r="B798" s="47"/>
      <c r="F798" s="97"/>
      <c r="G798" s="97"/>
      <c r="H798" s="48"/>
    </row>
    <row r="799">
      <c r="B799" s="47"/>
      <c r="F799" s="97"/>
      <c r="G799" s="97"/>
      <c r="H799" s="48"/>
    </row>
    <row r="800">
      <c r="B800" s="47"/>
      <c r="F800" s="97"/>
      <c r="G800" s="97"/>
      <c r="H800" s="48"/>
    </row>
    <row r="801">
      <c r="B801" s="47"/>
      <c r="F801" s="97"/>
      <c r="G801" s="97"/>
      <c r="H801" s="48"/>
    </row>
    <row r="802">
      <c r="B802" s="47"/>
      <c r="F802" s="97"/>
      <c r="G802" s="97"/>
      <c r="H802" s="48"/>
    </row>
    <row r="803">
      <c r="B803" s="47"/>
      <c r="F803" s="97"/>
      <c r="G803" s="97"/>
      <c r="H803" s="48"/>
    </row>
    <row r="804">
      <c r="B804" s="47"/>
      <c r="F804" s="97"/>
      <c r="G804" s="97"/>
      <c r="H804" s="48"/>
    </row>
    <row r="805">
      <c r="B805" s="47"/>
      <c r="F805" s="97"/>
      <c r="G805" s="97"/>
      <c r="H805" s="48"/>
    </row>
    <row r="806">
      <c r="B806" s="47"/>
      <c r="F806" s="97"/>
      <c r="G806" s="97"/>
      <c r="H806" s="48"/>
    </row>
    <row r="807">
      <c r="B807" s="47"/>
      <c r="F807" s="97"/>
      <c r="G807" s="97"/>
      <c r="H807" s="48"/>
    </row>
    <row r="808">
      <c r="B808" s="47"/>
      <c r="F808" s="97"/>
      <c r="G808" s="97"/>
      <c r="H808" s="48"/>
    </row>
    <row r="809">
      <c r="B809" s="47"/>
      <c r="F809" s="97"/>
      <c r="G809" s="97"/>
      <c r="H809" s="48"/>
    </row>
    <row r="810">
      <c r="B810" s="47"/>
      <c r="F810" s="97"/>
      <c r="G810" s="97"/>
      <c r="H810" s="48"/>
    </row>
    <row r="811">
      <c r="B811" s="47"/>
      <c r="F811" s="97"/>
      <c r="G811" s="97"/>
      <c r="H811" s="48"/>
    </row>
    <row r="812">
      <c r="B812" s="47"/>
      <c r="F812" s="97"/>
      <c r="G812" s="97"/>
      <c r="H812" s="48"/>
    </row>
    <row r="813">
      <c r="B813" s="47"/>
      <c r="F813" s="97"/>
      <c r="G813" s="97"/>
      <c r="H813" s="48"/>
    </row>
    <row r="814">
      <c r="B814" s="47"/>
      <c r="F814" s="97"/>
      <c r="G814" s="97"/>
      <c r="H814" s="48"/>
    </row>
    <row r="815">
      <c r="B815" s="47"/>
      <c r="F815" s="97"/>
      <c r="G815" s="97"/>
      <c r="H815" s="48"/>
    </row>
    <row r="816">
      <c r="B816" s="47"/>
      <c r="F816" s="97"/>
      <c r="G816" s="97"/>
      <c r="H816" s="48"/>
    </row>
    <row r="817">
      <c r="B817" s="47"/>
      <c r="F817" s="97"/>
      <c r="G817" s="97"/>
      <c r="H817" s="48"/>
    </row>
    <row r="818">
      <c r="B818" s="47"/>
      <c r="F818" s="97"/>
      <c r="G818" s="97"/>
      <c r="H818" s="48"/>
    </row>
    <row r="819">
      <c r="B819" s="47"/>
      <c r="F819" s="97"/>
      <c r="G819" s="97"/>
      <c r="H819" s="48"/>
    </row>
    <row r="820">
      <c r="B820" s="47"/>
      <c r="F820" s="97"/>
      <c r="G820" s="97"/>
      <c r="H820" s="48"/>
    </row>
    <row r="821">
      <c r="B821" s="47"/>
      <c r="F821" s="97"/>
      <c r="G821" s="97"/>
      <c r="H821" s="48"/>
    </row>
    <row r="822">
      <c r="B822" s="47"/>
      <c r="F822" s="97"/>
      <c r="G822" s="97"/>
      <c r="H822" s="48"/>
    </row>
    <row r="823">
      <c r="B823" s="47"/>
      <c r="F823" s="97"/>
      <c r="G823" s="97"/>
      <c r="H823" s="48"/>
    </row>
    <row r="824">
      <c r="B824" s="47"/>
      <c r="F824" s="97"/>
      <c r="G824" s="97"/>
      <c r="H824" s="48"/>
    </row>
    <row r="825">
      <c r="B825" s="47"/>
      <c r="F825" s="97"/>
      <c r="G825" s="97"/>
      <c r="H825" s="48"/>
    </row>
    <row r="826">
      <c r="B826" s="47"/>
      <c r="F826" s="97"/>
      <c r="G826" s="97"/>
      <c r="H826" s="48"/>
    </row>
    <row r="827">
      <c r="B827" s="47"/>
      <c r="F827" s="97"/>
      <c r="G827" s="97"/>
      <c r="H827" s="48"/>
    </row>
    <row r="828">
      <c r="B828" s="47"/>
      <c r="F828" s="97"/>
      <c r="G828" s="97"/>
      <c r="H828" s="48"/>
    </row>
    <row r="829">
      <c r="B829" s="47"/>
      <c r="F829" s="97"/>
      <c r="G829" s="97"/>
      <c r="H829" s="48"/>
    </row>
    <row r="830">
      <c r="B830" s="47"/>
      <c r="F830" s="97"/>
      <c r="G830" s="97"/>
      <c r="H830" s="48"/>
    </row>
    <row r="831">
      <c r="B831" s="47"/>
      <c r="F831" s="97"/>
      <c r="G831" s="97"/>
      <c r="H831" s="48"/>
    </row>
    <row r="832">
      <c r="B832" s="47"/>
      <c r="F832" s="97"/>
      <c r="G832" s="97"/>
      <c r="H832" s="48"/>
    </row>
    <row r="833">
      <c r="B833" s="47"/>
      <c r="F833" s="97"/>
      <c r="G833" s="97"/>
      <c r="H833" s="48"/>
    </row>
    <row r="834">
      <c r="B834" s="47"/>
      <c r="F834" s="97"/>
      <c r="G834" s="97"/>
      <c r="H834" s="48"/>
    </row>
    <row r="835">
      <c r="B835" s="47"/>
      <c r="F835" s="97"/>
      <c r="G835" s="97"/>
      <c r="H835" s="48"/>
    </row>
    <row r="836">
      <c r="B836" s="47"/>
      <c r="F836" s="97"/>
      <c r="G836" s="97"/>
      <c r="H836" s="48"/>
    </row>
    <row r="837">
      <c r="B837" s="47"/>
      <c r="F837" s="97"/>
      <c r="G837" s="97"/>
      <c r="H837" s="48"/>
    </row>
    <row r="838">
      <c r="B838" s="47"/>
      <c r="F838" s="97"/>
      <c r="G838" s="97"/>
      <c r="H838" s="48"/>
    </row>
    <row r="839">
      <c r="B839" s="47"/>
      <c r="F839" s="97"/>
      <c r="G839" s="97"/>
      <c r="H839" s="48"/>
    </row>
    <row r="840">
      <c r="B840" s="47"/>
      <c r="F840" s="97"/>
      <c r="G840" s="97"/>
      <c r="H840" s="48"/>
    </row>
    <row r="841">
      <c r="B841" s="47"/>
      <c r="F841" s="97"/>
      <c r="G841" s="97"/>
      <c r="H841" s="48"/>
    </row>
    <row r="842">
      <c r="B842" s="47"/>
      <c r="F842" s="97"/>
      <c r="G842" s="97"/>
      <c r="H842" s="48"/>
    </row>
    <row r="843">
      <c r="B843" s="47"/>
      <c r="F843" s="97"/>
      <c r="G843" s="97"/>
      <c r="H843" s="48"/>
    </row>
    <row r="844">
      <c r="B844" s="47"/>
      <c r="F844" s="97"/>
      <c r="G844" s="97"/>
      <c r="H844" s="48"/>
    </row>
    <row r="845">
      <c r="B845" s="47"/>
      <c r="F845" s="97"/>
      <c r="G845" s="97"/>
      <c r="H845" s="48"/>
    </row>
    <row r="846">
      <c r="B846" s="47"/>
      <c r="F846" s="97"/>
      <c r="G846" s="97"/>
      <c r="H846" s="48"/>
    </row>
    <row r="847">
      <c r="B847" s="47"/>
      <c r="F847" s="97"/>
      <c r="G847" s="97"/>
      <c r="H847" s="48"/>
    </row>
    <row r="848">
      <c r="B848" s="47"/>
      <c r="F848" s="97"/>
      <c r="G848" s="97"/>
      <c r="H848" s="48"/>
    </row>
    <row r="849">
      <c r="B849" s="47"/>
      <c r="F849" s="97"/>
      <c r="G849" s="97"/>
      <c r="H849" s="48"/>
    </row>
    <row r="850">
      <c r="B850" s="47"/>
      <c r="F850" s="97"/>
      <c r="G850" s="97"/>
      <c r="H850" s="48"/>
    </row>
    <row r="851">
      <c r="B851" s="47"/>
      <c r="F851" s="97"/>
      <c r="G851" s="97"/>
      <c r="H851" s="48"/>
    </row>
    <row r="852">
      <c r="B852" s="47"/>
      <c r="F852" s="97"/>
      <c r="G852" s="97"/>
      <c r="H852" s="48"/>
    </row>
    <row r="853">
      <c r="B853" s="47"/>
      <c r="F853" s="97"/>
      <c r="G853" s="97"/>
      <c r="H853" s="48"/>
    </row>
    <row r="854">
      <c r="B854" s="47"/>
      <c r="F854" s="97"/>
      <c r="G854" s="97"/>
      <c r="H854" s="48"/>
    </row>
    <row r="855">
      <c r="B855" s="47"/>
      <c r="F855" s="97"/>
      <c r="G855" s="97"/>
      <c r="H855" s="48"/>
    </row>
    <row r="856">
      <c r="B856" s="47"/>
      <c r="F856" s="97"/>
      <c r="G856" s="97"/>
      <c r="H856" s="48"/>
    </row>
    <row r="857">
      <c r="B857" s="47"/>
      <c r="F857" s="97"/>
      <c r="G857" s="97"/>
      <c r="H857" s="48"/>
    </row>
    <row r="858">
      <c r="B858" s="47"/>
      <c r="F858" s="97"/>
      <c r="G858" s="97"/>
      <c r="H858" s="48"/>
    </row>
    <row r="859">
      <c r="B859" s="47"/>
      <c r="F859" s="97"/>
      <c r="G859" s="97"/>
      <c r="H859" s="48"/>
    </row>
    <row r="860">
      <c r="B860" s="47"/>
      <c r="F860" s="97"/>
      <c r="G860" s="97"/>
      <c r="H860" s="48"/>
    </row>
    <row r="861">
      <c r="B861" s="47"/>
      <c r="F861" s="97"/>
      <c r="G861" s="97"/>
      <c r="H861" s="48"/>
    </row>
    <row r="862">
      <c r="B862" s="47"/>
      <c r="F862" s="97"/>
      <c r="G862" s="97"/>
      <c r="H862" s="48"/>
    </row>
    <row r="863">
      <c r="B863" s="47"/>
      <c r="F863" s="97"/>
      <c r="G863" s="97"/>
      <c r="H863" s="48"/>
    </row>
    <row r="864">
      <c r="B864" s="47"/>
      <c r="F864" s="97"/>
      <c r="G864" s="97"/>
      <c r="H864" s="48"/>
    </row>
    <row r="865">
      <c r="B865" s="47"/>
      <c r="F865" s="97"/>
      <c r="G865" s="97"/>
      <c r="H865" s="48"/>
    </row>
    <row r="866">
      <c r="B866" s="47"/>
      <c r="F866" s="97"/>
      <c r="G866" s="97"/>
      <c r="H866" s="48"/>
    </row>
    <row r="867">
      <c r="B867" s="47"/>
      <c r="F867" s="97"/>
      <c r="G867" s="97"/>
      <c r="H867" s="48"/>
    </row>
    <row r="868">
      <c r="B868" s="47"/>
      <c r="F868" s="97"/>
      <c r="G868" s="97"/>
      <c r="H868" s="48"/>
    </row>
    <row r="869">
      <c r="B869" s="47"/>
      <c r="F869" s="97"/>
      <c r="G869" s="97"/>
      <c r="H869" s="48"/>
    </row>
    <row r="870">
      <c r="B870" s="47"/>
      <c r="F870" s="97"/>
      <c r="G870" s="97"/>
      <c r="H870" s="48"/>
    </row>
    <row r="871">
      <c r="B871" s="47"/>
      <c r="F871" s="97"/>
      <c r="G871" s="97"/>
      <c r="H871" s="48"/>
    </row>
    <row r="872">
      <c r="B872" s="47"/>
      <c r="F872" s="97"/>
      <c r="G872" s="97"/>
      <c r="H872" s="48"/>
    </row>
    <row r="873">
      <c r="B873" s="47"/>
      <c r="F873" s="97"/>
      <c r="G873" s="97"/>
      <c r="H873" s="48"/>
    </row>
    <row r="874">
      <c r="B874" s="47"/>
      <c r="F874" s="97"/>
      <c r="G874" s="97"/>
      <c r="H874" s="48"/>
    </row>
    <row r="875">
      <c r="B875" s="47"/>
      <c r="F875" s="97"/>
      <c r="G875" s="97"/>
      <c r="H875" s="48"/>
    </row>
    <row r="876">
      <c r="B876" s="47"/>
      <c r="F876" s="97"/>
      <c r="G876" s="97"/>
      <c r="H876" s="48"/>
    </row>
    <row r="877">
      <c r="B877" s="47"/>
      <c r="F877" s="97"/>
      <c r="G877" s="97"/>
      <c r="H877" s="48"/>
    </row>
    <row r="878">
      <c r="B878" s="47"/>
      <c r="F878" s="97"/>
      <c r="G878" s="97"/>
      <c r="H878" s="48"/>
    </row>
    <row r="879">
      <c r="B879" s="47"/>
      <c r="F879" s="97"/>
      <c r="G879" s="97"/>
      <c r="H879" s="48"/>
    </row>
    <row r="880">
      <c r="B880" s="47"/>
      <c r="F880" s="97"/>
      <c r="G880" s="97"/>
      <c r="H880" s="48"/>
    </row>
    <row r="881">
      <c r="B881" s="47"/>
      <c r="F881" s="97"/>
      <c r="G881" s="97"/>
      <c r="H881" s="48"/>
    </row>
    <row r="882">
      <c r="B882" s="47"/>
      <c r="F882" s="97"/>
      <c r="G882" s="97"/>
      <c r="H882" s="48"/>
    </row>
    <row r="883">
      <c r="B883" s="47"/>
      <c r="F883" s="97"/>
      <c r="G883" s="97"/>
      <c r="H883" s="48"/>
    </row>
    <row r="884">
      <c r="B884" s="47"/>
      <c r="F884" s="97"/>
      <c r="G884" s="97"/>
      <c r="H884" s="48"/>
    </row>
    <row r="885">
      <c r="B885" s="47"/>
      <c r="F885" s="97"/>
      <c r="G885" s="97"/>
      <c r="H885" s="48"/>
    </row>
    <row r="886">
      <c r="B886" s="47"/>
      <c r="F886" s="97"/>
      <c r="G886" s="97"/>
      <c r="H886" s="48"/>
    </row>
    <row r="887">
      <c r="B887" s="47"/>
      <c r="F887" s="97"/>
      <c r="G887" s="97"/>
      <c r="H887" s="48"/>
    </row>
    <row r="888">
      <c r="B888" s="47"/>
      <c r="F888" s="97"/>
      <c r="G888" s="97"/>
      <c r="H888" s="48"/>
    </row>
    <row r="889">
      <c r="B889" s="47"/>
      <c r="F889" s="97"/>
      <c r="G889" s="97"/>
      <c r="H889" s="48"/>
    </row>
    <row r="890">
      <c r="B890" s="47"/>
      <c r="F890" s="97"/>
      <c r="G890" s="97"/>
      <c r="H890" s="48"/>
    </row>
    <row r="891">
      <c r="B891" s="47"/>
      <c r="F891" s="97"/>
      <c r="G891" s="97"/>
      <c r="H891" s="48"/>
    </row>
    <row r="892">
      <c r="B892" s="47"/>
      <c r="F892" s="97"/>
      <c r="G892" s="97"/>
      <c r="H892" s="48"/>
    </row>
    <row r="893">
      <c r="B893" s="47"/>
      <c r="F893" s="97"/>
      <c r="G893" s="97"/>
      <c r="H893" s="48"/>
    </row>
    <row r="894">
      <c r="B894" s="47"/>
      <c r="F894" s="97"/>
      <c r="G894" s="97"/>
      <c r="H894" s="48"/>
    </row>
    <row r="895">
      <c r="B895" s="47"/>
      <c r="F895" s="97"/>
      <c r="G895" s="97"/>
      <c r="H895" s="48"/>
    </row>
    <row r="896">
      <c r="B896" s="47"/>
      <c r="F896" s="97"/>
      <c r="G896" s="97"/>
      <c r="H896" s="48"/>
    </row>
    <row r="897">
      <c r="B897" s="47"/>
      <c r="F897" s="97"/>
      <c r="G897" s="97"/>
      <c r="H897" s="48"/>
    </row>
    <row r="898">
      <c r="B898" s="47"/>
      <c r="F898" s="97"/>
      <c r="G898" s="97"/>
      <c r="H898" s="48"/>
    </row>
    <row r="899">
      <c r="B899" s="47"/>
      <c r="F899" s="97"/>
      <c r="G899" s="97"/>
      <c r="H899" s="48"/>
    </row>
    <row r="900">
      <c r="B900" s="47"/>
      <c r="F900" s="97"/>
      <c r="G900" s="97"/>
      <c r="H900" s="48"/>
    </row>
    <row r="901">
      <c r="B901" s="47"/>
      <c r="F901" s="97"/>
      <c r="G901" s="97"/>
      <c r="H901" s="48"/>
    </row>
    <row r="902">
      <c r="B902" s="47"/>
      <c r="F902" s="97"/>
      <c r="G902" s="97"/>
      <c r="H902" s="48"/>
    </row>
    <row r="903">
      <c r="B903" s="47"/>
      <c r="F903" s="97"/>
      <c r="G903" s="97"/>
      <c r="H903" s="48"/>
    </row>
    <row r="904">
      <c r="B904" s="47"/>
      <c r="F904" s="97"/>
      <c r="G904" s="97"/>
      <c r="H904" s="48"/>
    </row>
    <row r="905">
      <c r="B905" s="47"/>
      <c r="F905" s="97"/>
      <c r="G905" s="97"/>
      <c r="H905" s="48"/>
    </row>
    <row r="906">
      <c r="B906" s="47"/>
      <c r="F906" s="97"/>
      <c r="G906" s="97"/>
      <c r="H906" s="48"/>
    </row>
    <row r="907">
      <c r="B907" s="47"/>
      <c r="F907" s="97"/>
      <c r="G907" s="97"/>
      <c r="H907" s="48"/>
    </row>
    <row r="908">
      <c r="B908" s="47"/>
      <c r="F908" s="97"/>
      <c r="G908" s="97"/>
      <c r="H908" s="48"/>
    </row>
    <row r="909">
      <c r="B909" s="47"/>
      <c r="F909" s="97"/>
      <c r="G909" s="97"/>
      <c r="H909" s="48"/>
    </row>
    <row r="910">
      <c r="B910" s="47"/>
      <c r="F910" s="97"/>
      <c r="G910" s="97"/>
      <c r="H910" s="48"/>
    </row>
    <row r="911">
      <c r="B911" s="47"/>
      <c r="F911" s="97"/>
      <c r="G911" s="97"/>
      <c r="H911" s="48"/>
    </row>
    <row r="912">
      <c r="B912" s="47"/>
      <c r="F912" s="97"/>
      <c r="G912" s="97"/>
      <c r="H912" s="48"/>
    </row>
    <row r="913">
      <c r="B913" s="47"/>
      <c r="F913" s="97"/>
      <c r="G913" s="97"/>
      <c r="H913" s="48"/>
    </row>
    <row r="914">
      <c r="B914" s="47"/>
      <c r="F914" s="97"/>
      <c r="G914" s="97"/>
      <c r="H914" s="48"/>
    </row>
    <row r="915">
      <c r="B915" s="47"/>
      <c r="F915" s="97"/>
      <c r="G915" s="97"/>
      <c r="H915" s="48"/>
    </row>
    <row r="916">
      <c r="B916" s="47"/>
      <c r="F916" s="97"/>
      <c r="G916" s="97"/>
      <c r="H916" s="48"/>
    </row>
    <row r="917">
      <c r="B917" s="47"/>
      <c r="F917" s="97"/>
      <c r="G917" s="97"/>
      <c r="H917" s="48"/>
    </row>
    <row r="918">
      <c r="B918" s="47"/>
      <c r="F918" s="97"/>
      <c r="G918" s="97"/>
      <c r="H918" s="48"/>
    </row>
    <row r="919">
      <c r="B919" s="47"/>
      <c r="F919" s="97"/>
      <c r="G919" s="97"/>
      <c r="H919" s="48"/>
    </row>
    <row r="920">
      <c r="B920" s="47"/>
      <c r="F920" s="97"/>
      <c r="G920" s="97"/>
      <c r="H920" s="48"/>
    </row>
    <row r="921">
      <c r="B921" s="47"/>
      <c r="F921" s="97"/>
      <c r="G921" s="97"/>
      <c r="H921" s="48"/>
    </row>
    <row r="922">
      <c r="B922" s="47"/>
      <c r="F922" s="97"/>
      <c r="G922" s="97"/>
      <c r="H922" s="48"/>
    </row>
    <row r="923">
      <c r="B923" s="47"/>
      <c r="F923" s="97"/>
      <c r="G923" s="97"/>
      <c r="H923" s="48"/>
    </row>
    <row r="924">
      <c r="B924" s="47"/>
      <c r="F924" s="97"/>
      <c r="G924" s="97"/>
      <c r="H924" s="48"/>
    </row>
    <row r="925">
      <c r="B925" s="47"/>
      <c r="F925" s="97"/>
      <c r="G925" s="97"/>
      <c r="H925" s="48"/>
    </row>
    <row r="926">
      <c r="B926" s="47"/>
      <c r="F926" s="97"/>
      <c r="G926" s="97"/>
      <c r="H926" s="48"/>
    </row>
    <row r="927">
      <c r="B927" s="47"/>
      <c r="F927" s="97"/>
      <c r="G927" s="97"/>
      <c r="H927" s="48"/>
    </row>
    <row r="928">
      <c r="B928" s="47"/>
      <c r="F928" s="97"/>
      <c r="G928" s="97"/>
      <c r="H928" s="48"/>
    </row>
    <row r="929">
      <c r="B929" s="47"/>
      <c r="F929" s="97"/>
      <c r="G929" s="97"/>
      <c r="H929" s="48"/>
    </row>
    <row r="930">
      <c r="B930" s="47"/>
      <c r="F930" s="97"/>
      <c r="G930" s="97"/>
      <c r="H930" s="48"/>
    </row>
    <row r="931">
      <c r="B931" s="47"/>
      <c r="F931" s="97"/>
      <c r="G931" s="97"/>
      <c r="H931" s="48"/>
    </row>
    <row r="932">
      <c r="B932" s="47"/>
      <c r="F932" s="97"/>
      <c r="G932" s="97"/>
      <c r="H932" s="48"/>
    </row>
    <row r="933">
      <c r="B933" s="47"/>
      <c r="F933" s="97"/>
      <c r="G933" s="97"/>
      <c r="H933" s="48"/>
    </row>
    <row r="934">
      <c r="B934" s="47"/>
      <c r="F934" s="97"/>
      <c r="G934" s="97"/>
      <c r="H934" s="48"/>
    </row>
    <row r="935">
      <c r="B935" s="47"/>
      <c r="F935" s="97"/>
      <c r="G935" s="97"/>
      <c r="H935" s="48"/>
    </row>
    <row r="936">
      <c r="B936" s="47"/>
      <c r="F936" s="97"/>
      <c r="G936" s="97"/>
      <c r="H936" s="48"/>
    </row>
    <row r="937">
      <c r="B937" s="47"/>
      <c r="F937" s="97"/>
      <c r="G937" s="97"/>
      <c r="H937" s="48"/>
    </row>
    <row r="938">
      <c r="B938" s="47"/>
      <c r="F938" s="97"/>
      <c r="G938" s="97"/>
      <c r="H938" s="48"/>
    </row>
    <row r="939">
      <c r="B939" s="47"/>
      <c r="F939" s="97"/>
      <c r="G939" s="97"/>
      <c r="H939" s="48"/>
    </row>
    <row r="940">
      <c r="B940" s="47"/>
      <c r="F940" s="97"/>
      <c r="G940" s="97"/>
      <c r="H940" s="48"/>
    </row>
    <row r="941">
      <c r="B941" s="47"/>
      <c r="F941" s="97"/>
      <c r="G941" s="97"/>
      <c r="H941" s="48"/>
    </row>
    <row r="942">
      <c r="B942" s="47"/>
      <c r="F942" s="97"/>
      <c r="G942" s="97"/>
      <c r="H942" s="48"/>
    </row>
    <row r="943">
      <c r="B943" s="47"/>
      <c r="F943" s="97"/>
      <c r="G943" s="97"/>
      <c r="H943" s="48"/>
    </row>
    <row r="944">
      <c r="B944" s="47"/>
      <c r="F944" s="97"/>
      <c r="G944" s="97"/>
      <c r="H944" s="48"/>
    </row>
    <row r="945">
      <c r="B945" s="47"/>
      <c r="F945" s="97"/>
      <c r="G945" s="97"/>
      <c r="H945" s="48"/>
    </row>
    <row r="946">
      <c r="B946" s="47"/>
      <c r="F946" s="97"/>
      <c r="G946" s="97"/>
      <c r="H946" s="48"/>
    </row>
    <row r="947">
      <c r="B947" s="47"/>
      <c r="F947" s="97"/>
      <c r="G947" s="97"/>
      <c r="H947" s="48"/>
    </row>
    <row r="948">
      <c r="B948" s="47"/>
      <c r="F948" s="97"/>
      <c r="G948" s="97"/>
      <c r="H948" s="48"/>
    </row>
    <row r="949">
      <c r="B949" s="47"/>
      <c r="F949" s="97"/>
      <c r="G949" s="97"/>
      <c r="H949" s="48"/>
    </row>
    <row r="950">
      <c r="B950" s="47"/>
      <c r="F950" s="97"/>
      <c r="G950" s="97"/>
      <c r="H950" s="48"/>
    </row>
    <row r="951">
      <c r="B951" s="47"/>
      <c r="F951" s="97"/>
      <c r="G951" s="97"/>
      <c r="H951" s="48"/>
    </row>
    <row r="952">
      <c r="B952" s="47"/>
      <c r="F952" s="97"/>
      <c r="G952" s="97"/>
      <c r="H952" s="48"/>
    </row>
    <row r="953">
      <c r="B953" s="47"/>
      <c r="F953" s="97"/>
      <c r="G953" s="97"/>
      <c r="H953" s="48"/>
    </row>
    <row r="954">
      <c r="B954" s="47"/>
      <c r="F954" s="97"/>
      <c r="G954" s="97"/>
      <c r="H954" s="48"/>
    </row>
    <row r="955">
      <c r="B955" s="47"/>
      <c r="F955" s="97"/>
      <c r="G955" s="97"/>
      <c r="H955" s="48"/>
    </row>
    <row r="956">
      <c r="B956" s="47"/>
      <c r="F956" s="97"/>
      <c r="G956" s="97"/>
      <c r="H956" s="48"/>
    </row>
    <row r="957">
      <c r="B957" s="47"/>
      <c r="F957" s="97"/>
      <c r="G957" s="97"/>
      <c r="H957" s="48"/>
    </row>
    <row r="958">
      <c r="B958" s="47"/>
      <c r="F958" s="97"/>
      <c r="G958" s="97"/>
      <c r="H958" s="48"/>
    </row>
    <row r="959">
      <c r="B959" s="47"/>
      <c r="F959" s="97"/>
      <c r="G959" s="97"/>
      <c r="H959" s="48"/>
    </row>
    <row r="960">
      <c r="B960" s="47"/>
      <c r="F960" s="97"/>
      <c r="G960" s="97"/>
      <c r="H960" s="48"/>
    </row>
    <row r="961">
      <c r="B961" s="47"/>
      <c r="F961" s="97"/>
      <c r="G961" s="97"/>
      <c r="H961" s="48"/>
    </row>
    <row r="962">
      <c r="B962" s="47"/>
      <c r="F962" s="97"/>
      <c r="G962" s="97"/>
      <c r="H962" s="48"/>
    </row>
    <row r="963">
      <c r="B963" s="47"/>
      <c r="F963" s="97"/>
      <c r="G963" s="97"/>
      <c r="H963" s="48"/>
    </row>
    <row r="964">
      <c r="B964" s="47"/>
      <c r="F964" s="97"/>
      <c r="G964" s="97"/>
      <c r="H964" s="48"/>
    </row>
    <row r="965">
      <c r="B965" s="47"/>
      <c r="F965" s="97"/>
      <c r="G965" s="97"/>
      <c r="H965" s="48"/>
    </row>
    <row r="966">
      <c r="B966" s="47"/>
      <c r="F966" s="97"/>
      <c r="G966" s="97"/>
      <c r="H966" s="48"/>
    </row>
    <row r="967">
      <c r="B967" s="47"/>
      <c r="F967" s="97"/>
      <c r="G967" s="97"/>
      <c r="H967" s="48"/>
    </row>
    <row r="968">
      <c r="B968" s="47"/>
      <c r="F968" s="97"/>
      <c r="G968" s="97"/>
      <c r="H968" s="48"/>
    </row>
    <row r="969">
      <c r="B969" s="47"/>
      <c r="F969" s="97"/>
      <c r="G969" s="97"/>
      <c r="H969" s="48"/>
    </row>
    <row r="970">
      <c r="B970" s="47"/>
      <c r="F970" s="97"/>
      <c r="G970" s="97"/>
      <c r="H970" s="48"/>
    </row>
    <row r="971">
      <c r="B971" s="47"/>
      <c r="F971" s="97"/>
      <c r="G971" s="97"/>
      <c r="H971" s="48"/>
    </row>
    <row r="972">
      <c r="B972" s="47"/>
      <c r="F972" s="97"/>
      <c r="G972" s="97"/>
      <c r="H972" s="48"/>
    </row>
    <row r="973">
      <c r="B973" s="47"/>
      <c r="F973" s="97"/>
      <c r="G973" s="97"/>
      <c r="H973" s="48"/>
    </row>
  </sheetData>
  <mergeCells count="1">
    <mergeCell ref="C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2.38"/>
    <col customWidth="1" min="3" max="3" width="15.38"/>
    <col customWidth="1" min="4" max="4" width="58.63"/>
    <col customWidth="1" min="6" max="6" width="16.88"/>
    <col customWidth="1" min="7" max="7" width="16.13"/>
    <col customWidth="1" min="8" max="8" width="49.13"/>
    <col customWidth="1" min="9" max="9" width="18.13"/>
    <col customWidth="1" min="10" max="10" width="18.0"/>
    <col customWidth="1" min="11" max="11" width="4.88"/>
    <col customWidth="1" min="12" max="12" width="12.13"/>
    <col customWidth="1" min="14" max="14" width="16.25"/>
  </cols>
  <sheetData>
    <row r="1">
      <c r="A1" s="98" t="s">
        <v>500</v>
      </c>
      <c r="B1" s="98" t="s">
        <v>501</v>
      </c>
      <c r="C1" s="99" t="s">
        <v>502</v>
      </c>
      <c r="D1" s="99" t="s">
        <v>503</v>
      </c>
      <c r="E1" s="99" t="s">
        <v>504</v>
      </c>
      <c r="F1" s="99" t="s">
        <v>505</v>
      </c>
      <c r="G1" s="99" t="s">
        <v>506</v>
      </c>
      <c r="H1" s="98" t="s">
        <v>507</v>
      </c>
      <c r="I1" s="98" t="s">
        <v>508</v>
      </c>
      <c r="J1" s="98" t="s">
        <v>509</v>
      </c>
      <c r="K1" s="98" t="s">
        <v>510</v>
      </c>
      <c r="L1" s="98" t="s">
        <v>511</v>
      </c>
      <c r="M1" s="98" t="s">
        <v>512</v>
      </c>
      <c r="N1" s="99" t="s">
        <v>513</v>
      </c>
      <c r="O1" s="100"/>
    </row>
    <row r="2">
      <c r="A2" s="101">
        <v>1.0</v>
      </c>
      <c r="B2" s="102" t="s">
        <v>514</v>
      </c>
      <c r="C2" s="101" t="s">
        <v>515</v>
      </c>
      <c r="E2" s="101" t="s">
        <v>516</v>
      </c>
      <c r="F2" s="101" t="s">
        <v>517</v>
      </c>
      <c r="G2" s="101" t="s">
        <v>517</v>
      </c>
      <c r="H2" s="101" t="s">
        <v>518</v>
      </c>
      <c r="I2" s="103">
        <v>3.700417144E9</v>
      </c>
      <c r="J2" s="103">
        <v>3.889933224E9</v>
      </c>
      <c r="K2" s="101">
        <v>4.0</v>
      </c>
      <c r="L2" s="104">
        <v>22.0</v>
      </c>
      <c r="M2" s="101" t="s">
        <v>519</v>
      </c>
      <c r="N2" s="105">
        <v>45235.170266203706</v>
      </c>
    </row>
    <row r="3">
      <c r="A3" s="101">
        <v>2.0</v>
      </c>
      <c r="B3" s="102" t="s">
        <v>520</v>
      </c>
      <c r="C3" s="101" t="s">
        <v>515</v>
      </c>
      <c r="D3" s="106" t="s">
        <v>521</v>
      </c>
      <c r="E3" s="101" t="s">
        <v>516</v>
      </c>
      <c r="F3" s="101" t="s">
        <v>364</v>
      </c>
      <c r="G3" s="101" t="s">
        <v>364</v>
      </c>
      <c r="H3" s="101" t="s">
        <v>522</v>
      </c>
      <c r="I3" s="103">
        <v>4.700089214E9</v>
      </c>
      <c r="J3" s="103">
        <v>3.427585899E9</v>
      </c>
      <c r="K3" s="101">
        <v>7.0</v>
      </c>
      <c r="L3" s="104">
        <v>0.0</v>
      </c>
      <c r="M3" s="101" t="s">
        <v>523</v>
      </c>
      <c r="N3" s="105">
        <v>45191.53324074074</v>
      </c>
    </row>
    <row r="4">
      <c r="A4" s="101">
        <v>3.0</v>
      </c>
      <c r="B4" s="102" t="s">
        <v>524</v>
      </c>
      <c r="C4" s="101" t="s">
        <v>515</v>
      </c>
      <c r="D4" s="106" t="s">
        <v>521</v>
      </c>
      <c r="E4" s="101" t="s">
        <v>516</v>
      </c>
      <c r="F4" s="101" t="s">
        <v>364</v>
      </c>
      <c r="G4" s="101" t="s">
        <v>364</v>
      </c>
      <c r="H4" s="101" t="s">
        <v>525</v>
      </c>
      <c r="I4" s="103">
        <v>5.601269151E9</v>
      </c>
      <c r="J4" s="6">
        <f>+393487946876</f>
        <v>393487946876</v>
      </c>
      <c r="K4" s="101">
        <v>7.0</v>
      </c>
      <c r="L4" s="104">
        <v>0.0</v>
      </c>
      <c r="M4" s="101" t="s">
        <v>523</v>
      </c>
      <c r="N4" s="105">
        <v>45183.445289351854</v>
      </c>
    </row>
    <row r="5">
      <c r="A5" s="101">
        <v>4.0</v>
      </c>
      <c r="B5" s="102" t="s">
        <v>526</v>
      </c>
      <c r="C5" s="101" t="s">
        <v>515</v>
      </c>
      <c r="D5" s="106" t="s">
        <v>521</v>
      </c>
      <c r="E5" s="101" t="s">
        <v>516</v>
      </c>
      <c r="F5" s="101" t="s">
        <v>364</v>
      </c>
      <c r="G5" s="101" t="s">
        <v>364</v>
      </c>
      <c r="H5" s="101" t="s">
        <v>527</v>
      </c>
      <c r="I5" s="103">
        <v>2.2400100735E10</v>
      </c>
      <c r="J5" s="103" t="s">
        <v>528</v>
      </c>
      <c r="K5" s="101">
        <v>7.0</v>
      </c>
      <c r="L5" s="104">
        <v>122.0</v>
      </c>
      <c r="M5" s="101" t="s">
        <v>523</v>
      </c>
      <c r="N5" s="105">
        <v>45181.29614583333</v>
      </c>
    </row>
    <row r="6">
      <c r="A6" s="101">
        <v>5.0</v>
      </c>
      <c r="B6" s="102" t="s">
        <v>529</v>
      </c>
      <c r="C6" s="101" t="s">
        <v>515</v>
      </c>
      <c r="E6" s="101" t="s">
        <v>516</v>
      </c>
      <c r="F6" s="101" t="s">
        <v>352</v>
      </c>
      <c r="G6" s="101" t="s">
        <v>352</v>
      </c>
      <c r="H6" s="101" t="s">
        <v>530</v>
      </c>
      <c r="I6" s="103">
        <v>5.300409207E9</v>
      </c>
      <c r="J6" s="103" t="s">
        <v>531</v>
      </c>
      <c r="K6" s="101">
        <v>7.0</v>
      </c>
      <c r="L6" s="104">
        <v>334.0</v>
      </c>
      <c r="M6" s="101" t="s">
        <v>523</v>
      </c>
      <c r="N6" s="105">
        <v>45172.47630787037</v>
      </c>
    </row>
    <row r="7">
      <c r="A7" s="101">
        <v>6.0</v>
      </c>
      <c r="B7" s="102" t="s">
        <v>532</v>
      </c>
      <c r="C7" s="101" t="s">
        <v>515</v>
      </c>
      <c r="D7" s="106" t="s">
        <v>521</v>
      </c>
      <c r="E7" s="101" t="s">
        <v>516</v>
      </c>
      <c r="F7" s="101" t="s">
        <v>364</v>
      </c>
      <c r="G7" s="101" t="s">
        <v>364</v>
      </c>
      <c r="H7" s="101" t="s">
        <v>533</v>
      </c>
      <c r="I7" s="103">
        <v>4.701188213E9</v>
      </c>
      <c r="J7" s="103">
        <v>1.1393453134782E13</v>
      </c>
      <c r="K7" s="101">
        <v>7.0</v>
      </c>
      <c r="L7" s="104">
        <v>41.0</v>
      </c>
      <c r="M7" s="101" t="s">
        <v>523</v>
      </c>
      <c r="N7" s="105">
        <v>45156.702199074076</v>
      </c>
    </row>
    <row r="8">
      <c r="A8" s="101">
        <v>7.0</v>
      </c>
      <c r="B8" s="102" t="s">
        <v>534</v>
      </c>
      <c r="C8" s="101" t="s">
        <v>515</v>
      </c>
      <c r="E8" s="101" t="s">
        <v>516</v>
      </c>
      <c r="F8" s="101" t="s">
        <v>352</v>
      </c>
      <c r="G8" s="101" t="s">
        <v>535</v>
      </c>
      <c r="H8" s="101" t="s">
        <v>536</v>
      </c>
      <c r="I8" s="103">
        <v>1.200723508E9</v>
      </c>
      <c r="J8" s="103" t="s">
        <v>537</v>
      </c>
      <c r="K8" s="101">
        <v>11.0</v>
      </c>
      <c r="L8" s="104">
        <v>0.0</v>
      </c>
      <c r="M8" s="101" t="s">
        <v>538</v>
      </c>
      <c r="N8" s="105">
        <v>45084.68369212963</v>
      </c>
    </row>
    <row r="9">
      <c r="A9" s="101">
        <v>8.0</v>
      </c>
      <c r="B9" s="102" t="s">
        <v>539</v>
      </c>
      <c r="C9" s="101" t="s">
        <v>515</v>
      </c>
      <c r="E9" s="101" t="s">
        <v>516</v>
      </c>
      <c r="F9" s="101" t="s">
        <v>540</v>
      </c>
      <c r="G9" s="101" t="s">
        <v>541</v>
      </c>
      <c r="H9" s="101" t="s">
        <v>542</v>
      </c>
      <c r="I9" s="103">
        <v>1.18334259E8</v>
      </c>
      <c r="J9" s="103" t="s">
        <v>543</v>
      </c>
      <c r="K9" s="101">
        <v>3.0</v>
      </c>
      <c r="L9" s="104">
        <v>0.0</v>
      </c>
      <c r="M9" s="101" t="s">
        <v>519</v>
      </c>
      <c r="N9" s="105">
        <v>45066.50784722222</v>
      </c>
    </row>
    <row r="10">
      <c r="A10" s="101">
        <v>9.0</v>
      </c>
      <c r="B10" s="102" t="s">
        <v>544</v>
      </c>
      <c r="C10" s="101" t="s">
        <v>515</v>
      </c>
      <c r="E10" s="101" t="s">
        <v>516</v>
      </c>
      <c r="F10" s="101" t="s">
        <v>540</v>
      </c>
      <c r="G10" s="101" t="s">
        <v>540</v>
      </c>
      <c r="H10" s="101" t="s">
        <v>545</v>
      </c>
      <c r="I10" s="103">
        <v>4.0210862609E10</v>
      </c>
      <c r="J10" s="103" t="s">
        <v>546</v>
      </c>
      <c r="K10" s="101">
        <v>8.0</v>
      </c>
      <c r="L10" s="104">
        <v>60.0</v>
      </c>
      <c r="M10" s="101" t="s">
        <v>523</v>
      </c>
      <c r="N10" s="105">
        <v>45037.389814814815</v>
      </c>
    </row>
    <row r="11">
      <c r="A11" s="101">
        <v>10.0</v>
      </c>
      <c r="B11" s="102" t="s">
        <v>547</v>
      </c>
      <c r="C11" s="101" t="s">
        <v>515</v>
      </c>
      <c r="E11" s="101" t="s">
        <v>516</v>
      </c>
      <c r="F11" s="101" t="s">
        <v>352</v>
      </c>
      <c r="G11" s="101" t="s">
        <v>352</v>
      </c>
      <c r="H11" s="101" t="s">
        <v>548</v>
      </c>
      <c r="I11" s="103">
        <v>1.05202204E8</v>
      </c>
      <c r="J11" s="103">
        <v>3.93534583237E11</v>
      </c>
      <c r="K11" s="101">
        <v>7.0</v>
      </c>
      <c r="L11" s="104">
        <v>68.0</v>
      </c>
      <c r="M11" s="101" t="s">
        <v>523</v>
      </c>
      <c r="N11" s="105">
        <v>45030.21181712963</v>
      </c>
    </row>
    <row r="12">
      <c r="A12" s="101">
        <v>11.0</v>
      </c>
      <c r="B12" s="102" t="s">
        <v>549</v>
      </c>
      <c r="C12" s="101" t="s">
        <v>515</v>
      </c>
      <c r="D12" s="106" t="s">
        <v>550</v>
      </c>
      <c r="E12" s="101" t="s">
        <v>516</v>
      </c>
      <c r="F12" s="101" t="s">
        <v>484</v>
      </c>
      <c r="G12" s="101" t="s">
        <v>484</v>
      </c>
      <c r="H12" s="101" t="s">
        <v>551</v>
      </c>
      <c r="I12" s="103">
        <v>2.601261783E9</v>
      </c>
      <c r="J12" s="103" t="s">
        <v>552</v>
      </c>
      <c r="K12" s="101">
        <v>7.0</v>
      </c>
      <c r="L12" s="104">
        <v>0.0</v>
      </c>
      <c r="M12" s="101" t="s">
        <v>523</v>
      </c>
      <c r="N12" s="105">
        <v>45025.57743055555</v>
      </c>
    </row>
    <row r="13">
      <c r="A13" s="101">
        <v>12.0</v>
      </c>
      <c r="B13" s="102" t="s">
        <v>553</v>
      </c>
      <c r="C13" s="101" t="s">
        <v>515</v>
      </c>
      <c r="D13" s="106" t="s">
        <v>550</v>
      </c>
      <c r="E13" s="101" t="s">
        <v>516</v>
      </c>
      <c r="F13" s="101" t="s">
        <v>484</v>
      </c>
      <c r="G13" s="101" t="s">
        <v>484</v>
      </c>
      <c r="H13" s="101" t="s">
        <v>554</v>
      </c>
      <c r="I13" s="103">
        <v>1.12937461E8</v>
      </c>
      <c r="J13" s="103">
        <v>1.1393515102829E13</v>
      </c>
      <c r="K13" s="101">
        <v>7.0</v>
      </c>
      <c r="L13" s="104">
        <v>21.0</v>
      </c>
      <c r="M13" s="101" t="s">
        <v>523</v>
      </c>
      <c r="N13" s="105">
        <v>45020.605092592596</v>
      </c>
    </row>
    <row r="14">
      <c r="A14" s="101">
        <v>13.0</v>
      </c>
      <c r="B14" s="102" t="s">
        <v>555</v>
      </c>
      <c r="C14" s="101" t="s">
        <v>515</v>
      </c>
      <c r="D14" s="106" t="s">
        <v>556</v>
      </c>
      <c r="E14" s="101" t="s">
        <v>516</v>
      </c>
      <c r="F14" s="101" t="s">
        <v>557</v>
      </c>
      <c r="G14" s="101" t="s">
        <v>557</v>
      </c>
      <c r="H14" s="101" t="s">
        <v>558</v>
      </c>
      <c r="I14" s="103">
        <v>2.2500633429E10</v>
      </c>
      <c r="J14" s="103">
        <v>3.45466583E9</v>
      </c>
      <c r="K14" s="101">
        <v>7.0</v>
      </c>
      <c r="L14" s="104">
        <v>0.0</v>
      </c>
      <c r="M14" s="101" t="s">
        <v>523</v>
      </c>
      <c r="N14" s="105">
        <v>44869.56726851852</v>
      </c>
    </row>
    <row r="15">
      <c r="A15" s="101">
        <v>14.0</v>
      </c>
      <c r="B15" s="102" t="s">
        <v>559</v>
      </c>
      <c r="C15" s="101" t="s">
        <v>515</v>
      </c>
      <c r="E15" s="101" t="s">
        <v>516</v>
      </c>
      <c r="F15" s="101" t="s">
        <v>557</v>
      </c>
      <c r="G15" s="101" t="s">
        <v>557</v>
      </c>
      <c r="H15" s="101" t="s">
        <v>560</v>
      </c>
      <c r="I15" s="103">
        <v>4.0234924492E10</v>
      </c>
      <c r="J15" s="103" t="s">
        <v>561</v>
      </c>
      <c r="K15" s="101">
        <v>7.0</v>
      </c>
      <c r="L15" s="104">
        <v>155.0</v>
      </c>
      <c r="M15" s="101" t="s">
        <v>523</v>
      </c>
      <c r="N15" s="105">
        <v>44869.56065972222</v>
      </c>
    </row>
    <row r="16">
      <c r="A16" s="101">
        <v>15.0</v>
      </c>
      <c r="B16" s="102" t="s">
        <v>562</v>
      </c>
      <c r="C16" s="101" t="s">
        <v>515</v>
      </c>
      <c r="D16" s="106" t="s">
        <v>521</v>
      </c>
      <c r="E16" s="101" t="s">
        <v>516</v>
      </c>
      <c r="F16" s="101" t="s">
        <v>364</v>
      </c>
      <c r="G16" s="101" t="s">
        <v>364</v>
      </c>
      <c r="H16" s="101" t="s">
        <v>563</v>
      </c>
      <c r="I16" s="103">
        <v>1.16813411E8</v>
      </c>
      <c r="J16" s="6">
        <f>+39-3473519082</f>
        <v>-3473519043</v>
      </c>
      <c r="K16" s="101">
        <v>7.0</v>
      </c>
      <c r="L16" s="104">
        <v>82.0</v>
      </c>
      <c r="M16" s="101" t="s">
        <v>523</v>
      </c>
      <c r="N16" s="105">
        <v>44867.744155092594</v>
      </c>
    </row>
    <row r="17">
      <c r="A17" s="101">
        <v>16.0</v>
      </c>
      <c r="B17" s="102" t="s">
        <v>564</v>
      </c>
      <c r="C17" s="101" t="s">
        <v>515</v>
      </c>
      <c r="E17" s="101" t="s">
        <v>516</v>
      </c>
      <c r="F17" s="101" t="s">
        <v>430</v>
      </c>
      <c r="G17" s="101" t="s">
        <v>430</v>
      </c>
      <c r="H17" s="101" t="s">
        <v>565</v>
      </c>
      <c r="I17" s="103">
        <v>1.800100172E9</v>
      </c>
      <c r="J17" s="6">
        <f>+393533554890</f>
        <v>393533554890</v>
      </c>
      <c r="K17" s="101">
        <v>8.0</v>
      </c>
      <c r="L17" s="104">
        <v>0.0</v>
      </c>
      <c r="M17" s="101" t="s">
        <v>523</v>
      </c>
      <c r="N17" s="105">
        <v>44867.251284722224</v>
      </c>
    </row>
    <row r="18">
      <c r="A18" s="101">
        <v>17.0</v>
      </c>
      <c r="B18" s="102" t="s">
        <v>566</v>
      </c>
      <c r="C18" s="101" t="s">
        <v>515</v>
      </c>
      <c r="D18" s="106" t="s">
        <v>567</v>
      </c>
      <c r="E18" s="101" t="s">
        <v>516</v>
      </c>
      <c r="F18" s="101" t="s">
        <v>382</v>
      </c>
      <c r="G18" s="101" t="s">
        <v>382</v>
      </c>
      <c r="H18" s="101" t="s">
        <v>568</v>
      </c>
      <c r="I18" s="103">
        <v>1.00302553E8</v>
      </c>
      <c r="J18" s="103">
        <v>3.491815326E9</v>
      </c>
      <c r="K18" s="101">
        <v>7.0</v>
      </c>
      <c r="L18" s="104">
        <v>9.0</v>
      </c>
      <c r="M18" s="101" t="s">
        <v>523</v>
      </c>
      <c r="N18" s="105">
        <v>44864.73590277778</v>
      </c>
    </row>
    <row r="19">
      <c r="A19" s="101">
        <v>18.0</v>
      </c>
      <c r="B19" s="102" t="s">
        <v>569</v>
      </c>
      <c r="C19" s="101" t="s">
        <v>515</v>
      </c>
      <c r="D19" s="106" t="s">
        <v>570</v>
      </c>
      <c r="E19" s="101" t="s">
        <v>516</v>
      </c>
      <c r="F19" s="101" t="s">
        <v>388</v>
      </c>
      <c r="G19" s="101" t="s">
        <v>388</v>
      </c>
      <c r="H19" s="101" t="s">
        <v>571</v>
      </c>
      <c r="I19" s="103">
        <v>1.05837397E8</v>
      </c>
      <c r="J19" s="103">
        <v>3.420293368E9</v>
      </c>
      <c r="K19" s="101">
        <v>7.0</v>
      </c>
      <c r="L19" s="104">
        <v>10.0</v>
      </c>
      <c r="M19" s="101" t="s">
        <v>523</v>
      </c>
      <c r="N19" s="105">
        <v>44862.732083333336</v>
      </c>
    </row>
    <row r="20">
      <c r="A20" s="101">
        <v>19.0</v>
      </c>
      <c r="B20" s="102" t="s">
        <v>572</v>
      </c>
      <c r="C20" s="101" t="s">
        <v>515</v>
      </c>
      <c r="D20" s="106" t="s">
        <v>567</v>
      </c>
      <c r="E20" s="101" t="s">
        <v>516</v>
      </c>
      <c r="F20" s="101" t="s">
        <v>382</v>
      </c>
      <c r="G20" s="101" t="s">
        <v>382</v>
      </c>
      <c r="H20" s="101" t="s">
        <v>573</v>
      </c>
      <c r="I20" s="103">
        <v>4.0235237654E10</v>
      </c>
      <c r="J20" s="103">
        <v>1.1393911755691E13</v>
      </c>
      <c r="K20" s="101">
        <v>7.0</v>
      </c>
      <c r="L20" s="104">
        <v>3.0</v>
      </c>
      <c r="M20" s="101" t="s">
        <v>523</v>
      </c>
      <c r="N20" s="105">
        <v>44860.89074074074</v>
      </c>
    </row>
    <row r="21">
      <c r="A21" s="101">
        <v>20.0</v>
      </c>
      <c r="B21" s="102" t="s">
        <v>574</v>
      </c>
      <c r="C21" s="101" t="s">
        <v>515</v>
      </c>
      <c r="E21" s="101" t="s">
        <v>516</v>
      </c>
      <c r="F21" s="101" t="s">
        <v>575</v>
      </c>
      <c r="G21" s="101" t="s">
        <v>575</v>
      </c>
      <c r="H21" s="101" t="s">
        <v>576</v>
      </c>
      <c r="I21" s="103">
        <v>1.1476567E8</v>
      </c>
      <c r="J21" s="103">
        <v>3.93899607259E11</v>
      </c>
      <c r="K21" s="101">
        <v>7.0</v>
      </c>
      <c r="L21" s="104">
        <v>0.0</v>
      </c>
      <c r="M21" s="101" t="s">
        <v>523</v>
      </c>
      <c r="N21" s="105">
        <v>44858.40960648148</v>
      </c>
    </row>
    <row r="22">
      <c r="A22" s="101">
        <v>21.0</v>
      </c>
      <c r="B22" s="102" t="s">
        <v>577</v>
      </c>
      <c r="C22" s="101" t="s">
        <v>515</v>
      </c>
      <c r="D22" s="106" t="s">
        <v>521</v>
      </c>
      <c r="E22" s="101" t="s">
        <v>516</v>
      </c>
      <c r="F22" s="101" t="s">
        <v>364</v>
      </c>
      <c r="G22" s="101" t="s">
        <v>364</v>
      </c>
      <c r="H22" s="101" t="s">
        <v>578</v>
      </c>
      <c r="I22" s="103">
        <v>5.601176976E9</v>
      </c>
      <c r="J22" s="6">
        <f>+393397161594</f>
        <v>393397161594</v>
      </c>
      <c r="K22" s="101">
        <v>7.0</v>
      </c>
      <c r="L22" s="104">
        <v>67.0</v>
      </c>
      <c r="M22" s="101" t="s">
        <v>523</v>
      </c>
      <c r="N22" s="105">
        <v>44855.23465277778</v>
      </c>
    </row>
    <row r="23">
      <c r="A23" s="101">
        <v>22.0</v>
      </c>
      <c r="B23" s="102" t="s">
        <v>579</v>
      </c>
      <c r="C23" s="101" t="s">
        <v>515</v>
      </c>
      <c r="E23" s="101" t="s">
        <v>516</v>
      </c>
      <c r="F23" s="101" t="s">
        <v>394</v>
      </c>
      <c r="G23" s="101" t="s">
        <v>394</v>
      </c>
      <c r="H23" s="101" t="s">
        <v>580</v>
      </c>
      <c r="I23" s="103">
        <v>3.00488392E8</v>
      </c>
      <c r="J23" s="103">
        <v>3.285984831E9</v>
      </c>
      <c r="K23" s="101">
        <v>2.0</v>
      </c>
      <c r="L23" s="104">
        <v>0.0</v>
      </c>
      <c r="M23" s="101" t="s">
        <v>519</v>
      </c>
      <c r="N23" s="105">
        <v>44853.814884259256</v>
      </c>
    </row>
    <row r="24">
      <c r="A24" s="101">
        <v>23.0</v>
      </c>
      <c r="B24" s="102" t="s">
        <v>581</v>
      </c>
      <c r="C24" s="101" t="s">
        <v>515</v>
      </c>
      <c r="D24" s="106" t="s">
        <v>582</v>
      </c>
      <c r="E24" s="101" t="s">
        <v>516</v>
      </c>
      <c r="F24" s="101" t="s">
        <v>540</v>
      </c>
      <c r="G24" s="101" t="s">
        <v>540</v>
      </c>
      <c r="H24" s="101" t="s">
        <v>583</v>
      </c>
      <c r="I24" s="103">
        <v>4.0226593461E10</v>
      </c>
      <c r="J24" s="103">
        <v>3.28596008E9</v>
      </c>
      <c r="K24" s="101">
        <v>7.0</v>
      </c>
      <c r="L24" s="104">
        <v>1.0</v>
      </c>
      <c r="M24" s="101" t="s">
        <v>523</v>
      </c>
      <c r="N24" s="105">
        <v>44852.210694444446</v>
      </c>
    </row>
    <row r="25">
      <c r="A25" s="101">
        <v>24.0</v>
      </c>
      <c r="B25" s="102" t="s">
        <v>584</v>
      </c>
      <c r="C25" s="101" t="s">
        <v>515</v>
      </c>
      <c r="D25" s="106" t="s">
        <v>585</v>
      </c>
      <c r="E25" s="101" t="s">
        <v>516</v>
      </c>
      <c r="F25" s="101" t="s">
        <v>394</v>
      </c>
      <c r="G25" s="101" t="s">
        <v>394</v>
      </c>
      <c r="H25" s="101" t="s">
        <v>586</v>
      </c>
      <c r="I25" s="103">
        <v>2.250062587E10</v>
      </c>
      <c r="J25" s="103" t="s">
        <v>587</v>
      </c>
      <c r="K25" s="101">
        <v>8.0</v>
      </c>
      <c r="L25" s="104">
        <v>90.0</v>
      </c>
      <c r="M25" s="101" t="s">
        <v>523</v>
      </c>
      <c r="N25" s="105">
        <v>44849.67461805556</v>
      </c>
    </row>
    <row r="26">
      <c r="A26" s="101">
        <v>25.0</v>
      </c>
      <c r="B26" s="102" t="s">
        <v>588</v>
      </c>
      <c r="C26" s="101" t="s">
        <v>515</v>
      </c>
      <c r="D26" s="106" t="s">
        <v>521</v>
      </c>
      <c r="E26" s="101" t="s">
        <v>516</v>
      </c>
      <c r="F26" s="101" t="s">
        <v>364</v>
      </c>
      <c r="G26" s="101" t="s">
        <v>364</v>
      </c>
      <c r="H26" s="101" t="s">
        <v>589</v>
      </c>
      <c r="I26" s="103">
        <v>4.70061166E9</v>
      </c>
      <c r="J26" s="6">
        <f>+39347-12-866</f>
        <v>38469</v>
      </c>
      <c r="K26" s="101">
        <v>7.0</v>
      </c>
      <c r="L26" s="104">
        <v>65.0</v>
      </c>
      <c r="M26" s="101" t="s">
        <v>523</v>
      </c>
      <c r="N26" s="105">
        <v>44845.45900462963</v>
      </c>
    </row>
    <row r="27">
      <c r="A27" s="101">
        <v>26.0</v>
      </c>
      <c r="B27" s="102" t="s">
        <v>590</v>
      </c>
      <c r="C27" s="101" t="s">
        <v>515</v>
      </c>
      <c r="D27" s="106" t="s">
        <v>591</v>
      </c>
      <c r="E27" s="101" t="s">
        <v>516</v>
      </c>
      <c r="F27" s="101" t="s">
        <v>540</v>
      </c>
      <c r="G27" s="101" t="s">
        <v>540</v>
      </c>
      <c r="H27" s="101" t="s">
        <v>592</v>
      </c>
      <c r="I27" s="103">
        <v>3.104119379E9</v>
      </c>
      <c r="J27" s="103">
        <v>3.711285631E9</v>
      </c>
      <c r="K27" s="101">
        <v>7.0</v>
      </c>
      <c r="L27" s="104">
        <v>0.0</v>
      </c>
      <c r="M27" s="101" t="s">
        <v>523</v>
      </c>
      <c r="N27" s="105">
        <v>44843.495162037034</v>
      </c>
    </row>
    <row r="28">
      <c r="A28" s="101">
        <v>27.0</v>
      </c>
      <c r="B28" s="102" t="s">
        <v>593</v>
      </c>
      <c r="C28" s="101" t="s">
        <v>515</v>
      </c>
      <c r="D28" s="106" t="s">
        <v>594</v>
      </c>
      <c r="E28" s="101" t="s">
        <v>516</v>
      </c>
      <c r="F28" s="101" t="s">
        <v>436</v>
      </c>
      <c r="G28" s="101" t="s">
        <v>595</v>
      </c>
      <c r="H28" s="101" t="s">
        <v>596</v>
      </c>
      <c r="I28" s="103">
        <v>1.10180007E8</v>
      </c>
      <c r="J28" s="103">
        <v>3.93409172671E11</v>
      </c>
      <c r="K28" s="101">
        <v>7.0</v>
      </c>
      <c r="L28" s="104">
        <v>73.0</v>
      </c>
      <c r="M28" s="101" t="s">
        <v>523</v>
      </c>
      <c r="N28" s="105">
        <v>44838.67123842592</v>
      </c>
    </row>
    <row r="29">
      <c r="A29" s="101">
        <v>28.0</v>
      </c>
      <c r="B29" s="102" t="s">
        <v>597</v>
      </c>
      <c r="C29" s="101" t="s">
        <v>515</v>
      </c>
      <c r="D29" s="106" t="s">
        <v>598</v>
      </c>
      <c r="E29" s="101" t="s">
        <v>516</v>
      </c>
      <c r="F29" s="101" t="s">
        <v>540</v>
      </c>
      <c r="G29" s="101" t="s">
        <v>540</v>
      </c>
      <c r="H29" s="101" t="s">
        <v>599</v>
      </c>
      <c r="I29" s="103">
        <v>1.11378634E8</v>
      </c>
      <c r="J29" s="103" t="s">
        <v>600</v>
      </c>
      <c r="K29" s="101">
        <v>7.0</v>
      </c>
      <c r="L29" s="104">
        <v>83.0</v>
      </c>
      <c r="M29" s="101" t="s">
        <v>523</v>
      </c>
      <c r="N29" s="105">
        <v>44825.29096064815</v>
      </c>
    </row>
    <row r="30">
      <c r="A30" s="101">
        <v>29.0</v>
      </c>
      <c r="B30" s="102" t="s">
        <v>601</v>
      </c>
      <c r="C30" s="101" t="s">
        <v>515</v>
      </c>
      <c r="D30" s="106" t="s">
        <v>602</v>
      </c>
      <c r="E30" s="101" t="s">
        <v>516</v>
      </c>
      <c r="F30" s="101" t="s">
        <v>603</v>
      </c>
      <c r="G30" s="101" t="s">
        <v>603</v>
      </c>
      <c r="H30" s="101" t="s">
        <v>604</v>
      </c>
      <c r="I30" s="103">
        <v>1.08843954E8</v>
      </c>
      <c r="J30" s="103" t="s">
        <v>605</v>
      </c>
      <c r="K30" s="101">
        <v>7.0</v>
      </c>
      <c r="L30" s="104">
        <v>55.0</v>
      </c>
      <c r="M30" s="101" t="s">
        <v>523</v>
      </c>
      <c r="N30" s="105">
        <v>44793.60097222222</v>
      </c>
    </row>
    <row r="31">
      <c r="A31" s="101">
        <v>30.0</v>
      </c>
      <c r="B31" s="102" t="s">
        <v>606</v>
      </c>
      <c r="C31" s="101" t="s">
        <v>515</v>
      </c>
      <c r="D31" s="106" t="s">
        <v>567</v>
      </c>
      <c r="E31" s="101" t="s">
        <v>516</v>
      </c>
      <c r="F31" s="101" t="s">
        <v>575</v>
      </c>
      <c r="G31" s="101" t="s">
        <v>575</v>
      </c>
      <c r="H31" s="101" t="s">
        <v>607</v>
      </c>
      <c r="I31" s="103">
        <v>6.500211708E9</v>
      </c>
      <c r="J31" s="103">
        <v>3.493309638E9</v>
      </c>
      <c r="K31" s="101">
        <v>7.0</v>
      </c>
      <c r="L31" s="104">
        <v>0.0</v>
      </c>
      <c r="M31" s="101" t="s">
        <v>523</v>
      </c>
      <c r="N31" s="105">
        <v>44784.38108796296</v>
      </c>
    </row>
    <row r="32">
      <c r="A32" s="101">
        <v>31.0</v>
      </c>
      <c r="B32" s="102" t="s">
        <v>608</v>
      </c>
      <c r="C32" s="101" t="s">
        <v>515</v>
      </c>
      <c r="D32" s="106" t="s">
        <v>609</v>
      </c>
      <c r="E32" s="101" t="s">
        <v>516</v>
      </c>
      <c r="F32" s="101" t="s">
        <v>406</v>
      </c>
      <c r="G32" s="101" t="s">
        <v>406</v>
      </c>
      <c r="H32" s="101" t="s">
        <v>610</v>
      </c>
      <c r="I32" s="103">
        <v>1.0331518E8</v>
      </c>
      <c r="J32" s="103">
        <v>1.1393425953032E13</v>
      </c>
      <c r="K32" s="101">
        <v>7.0</v>
      </c>
      <c r="L32" s="104">
        <v>23.0</v>
      </c>
      <c r="M32" s="101" t="s">
        <v>523</v>
      </c>
      <c r="N32" s="105">
        <v>44735.69719907407</v>
      </c>
    </row>
    <row r="33">
      <c r="A33" s="101">
        <v>32.0</v>
      </c>
      <c r="B33" s="102" t="s">
        <v>611</v>
      </c>
      <c r="C33" s="101" t="s">
        <v>515</v>
      </c>
      <c r="E33" s="101" t="s">
        <v>516</v>
      </c>
      <c r="F33" s="101" t="s">
        <v>430</v>
      </c>
      <c r="G33" s="101" t="s">
        <v>430</v>
      </c>
      <c r="H33" s="101" t="s">
        <v>612</v>
      </c>
      <c r="I33" s="103">
        <v>9.300125144E9</v>
      </c>
      <c r="J33" s="103">
        <v>3.93713379975E11</v>
      </c>
      <c r="K33" s="101">
        <v>11.0</v>
      </c>
      <c r="L33" s="104">
        <v>144.0</v>
      </c>
      <c r="M33" s="101" t="s">
        <v>538</v>
      </c>
      <c r="N33" s="105">
        <v>44699.808599537035</v>
      </c>
    </row>
    <row r="34">
      <c r="A34" s="101">
        <v>33.0</v>
      </c>
      <c r="B34" s="102" t="s">
        <v>613</v>
      </c>
      <c r="C34" s="101" t="s">
        <v>515</v>
      </c>
      <c r="D34" s="106" t="s">
        <v>556</v>
      </c>
      <c r="E34" s="101" t="s">
        <v>516</v>
      </c>
      <c r="F34" s="101" t="s">
        <v>557</v>
      </c>
      <c r="G34" s="101" t="s">
        <v>557</v>
      </c>
      <c r="H34" s="101" t="s">
        <v>614</v>
      </c>
      <c r="I34" s="103">
        <v>1.2300020521E10</v>
      </c>
      <c r="J34" s="6">
        <f>+13491029300</f>
        <v>13491029300</v>
      </c>
      <c r="K34" s="101">
        <v>7.0</v>
      </c>
      <c r="L34" s="104">
        <v>70.0</v>
      </c>
      <c r="M34" s="101" t="s">
        <v>523</v>
      </c>
      <c r="N34" s="105">
        <v>44689.35857638889</v>
      </c>
    </row>
    <row r="35">
      <c r="A35" s="101">
        <v>34.0</v>
      </c>
      <c r="B35" s="102" t="s">
        <v>615</v>
      </c>
      <c r="C35" s="101" t="s">
        <v>515</v>
      </c>
      <c r="D35" s="106" t="s">
        <v>582</v>
      </c>
      <c r="E35" s="101" t="s">
        <v>516</v>
      </c>
      <c r="F35" s="101" t="s">
        <v>540</v>
      </c>
      <c r="G35" s="101" t="s">
        <v>540</v>
      </c>
      <c r="H35" s="101" t="s">
        <v>616</v>
      </c>
      <c r="I35" s="103">
        <v>4.702009848E9</v>
      </c>
      <c r="J35" s="103">
        <v>3.47696577E9</v>
      </c>
      <c r="K35" s="101">
        <v>8.0</v>
      </c>
      <c r="L35" s="104">
        <v>193.0</v>
      </c>
      <c r="M35" s="101" t="s">
        <v>523</v>
      </c>
      <c r="N35" s="105">
        <v>44683.728634259256</v>
      </c>
    </row>
    <row r="36">
      <c r="A36" s="101">
        <v>35.0</v>
      </c>
      <c r="B36" s="102" t="s">
        <v>617</v>
      </c>
      <c r="C36" s="101" t="s">
        <v>515</v>
      </c>
      <c r="D36" s="106" t="s">
        <v>594</v>
      </c>
      <c r="E36" s="101" t="s">
        <v>516</v>
      </c>
      <c r="F36" s="101" t="s">
        <v>540</v>
      </c>
      <c r="G36" s="101" t="s">
        <v>540</v>
      </c>
      <c r="H36" s="101" t="s">
        <v>618</v>
      </c>
      <c r="I36" s="103">
        <v>4.0023066E8</v>
      </c>
      <c r="J36" s="103" t="s">
        <v>619</v>
      </c>
      <c r="K36" s="101">
        <v>7.0</v>
      </c>
      <c r="L36" s="104">
        <v>14.0</v>
      </c>
      <c r="M36" s="101" t="s">
        <v>523</v>
      </c>
      <c r="N36" s="105">
        <v>44623.81203703704</v>
      </c>
    </row>
    <row r="37">
      <c r="A37" s="101">
        <v>36.0</v>
      </c>
      <c r="B37" s="102" t="s">
        <v>620</v>
      </c>
      <c r="C37" s="101" t="s">
        <v>515</v>
      </c>
      <c r="D37" s="106" t="s">
        <v>591</v>
      </c>
      <c r="E37" s="101" t="s">
        <v>516</v>
      </c>
      <c r="F37" s="101" t="s">
        <v>540</v>
      </c>
      <c r="G37" s="101" t="s">
        <v>540</v>
      </c>
      <c r="I37" s="6"/>
      <c r="J37" s="6"/>
      <c r="N37" s="6"/>
    </row>
    <row r="38">
      <c r="A38" s="101">
        <v>37.0</v>
      </c>
      <c r="B38" s="102" t="s">
        <v>621</v>
      </c>
      <c r="C38" s="101" t="s">
        <v>515</v>
      </c>
      <c r="D38" s="106" t="s">
        <v>622</v>
      </c>
      <c r="E38" s="101" t="s">
        <v>516</v>
      </c>
      <c r="F38" s="101" t="s">
        <v>376</v>
      </c>
      <c r="G38" s="101" t="s">
        <v>376</v>
      </c>
      <c r="H38" s="101" t="s">
        <v>623</v>
      </c>
      <c r="I38" s="103">
        <v>2.2301200543E10</v>
      </c>
      <c r="J38" s="103" t="s">
        <v>624</v>
      </c>
      <c r="K38" s="101">
        <v>8.0</v>
      </c>
      <c r="L38" s="104">
        <v>2.0</v>
      </c>
      <c r="M38" s="101" t="s">
        <v>523</v>
      </c>
      <c r="N38" s="105">
        <v>44606.28858796296</v>
      </c>
    </row>
    <row r="39">
      <c r="A39" s="101">
        <v>38.0</v>
      </c>
      <c r="B39" s="102" t="s">
        <v>625</v>
      </c>
      <c r="C39" s="101" t="s">
        <v>515</v>
      </c>
      <c r="E39" s="101" t="s">
        <v>516</v>
      </c>
      <c r="F39" s="101" t="s">
        <v>418</v>
      </c>
      <c r="G39" s="101" t="s">
        <v>418</v>
      </c>
      <c r="H39" s="101" t="s">
        <v>626</v>
      </c>
      <c r="I39" s="103">
        <v>5.600236052E9</v>
      </c>
      <c r="J39" s="103">
        <v>1.1393276822319E13</v>
      </c>
      <c r="K39" s="101">
        <v>7.0</v>
      </c>
      <c r="L39" s="104">
        <v>157.0</v>
      </c>
      <c r="M39" s="101" t="s">
        <v>523</v>
      </c>
      <c r="N39" s="105">
        <v>44605.72934027778</v>
      </c>
    </row>
    <row r="40">
      <c r="A40" s="101">
        <v>39.0</v>
      </c>
      <c r="B40" s="102" t="s">
        <v>627</v>
      </c>
      <c r="C40" s="101" t="s">
        <v>515</v>
      </c>
      <c r="D40" s="106" t="s">
        <v>594</v>
      </c>
      <c r="E40" s="101" t="s">
        <v>516</v>
      </c>
      <c r="F40" s="101" t="s">
        <v>540</v>
      </c>
      <c r="G40" s="101" t="s">
        <v>540</v>
      </c>
      <c r="H40" s="101" t="s">
        <v>628</v>
      </c>
      <c r="I40" s="103">
        <v>1.100271319E9</v>
      </c>
      <c r="J40" s="6">
        <f>+393386742105</f>
        <v>393386742105</v>
      </c>
      <c r="K40" s="101">
        <v>8.0</v>
      </c>
      <c r="L40" s="104">
        <v>91.0</v>
      </c>
      <c r="M40" s="101" t="s">
        <v>523</v>
      </c>
      <c r="N40" s="105">
        <v>44603.773888888885</v>
      </c>
    </row>
    <row r="41">
      <c r="A41" s="101">
        <v>40.0</v>
      </c>
      <c r="B41" s="102" t="s">
        <v>629</v>
      </c>
      <c r="C41" s="101" t="s">
        <v>515</v>
      </c>
      <c r="D41" s="106" t="s">
        <v>630</v>
      </c>
      <c r="E41" s="101" t="s">
        <v>516</v>
      </c>
      <c r="F41" s="101" t="s">
        <v>352</v>
      </c>
      <c r="G41" s="101" t="s">
        <v>535</v>
      </c>
      <c r="H41" s="101" t="s">
        <v>631</v>
      </c>
      <c r="I41" s="103">
        <v>7.600051051E9</v>
      </c>
      <c r="J41" s="103" t="s">
        <v>632</v>
      </c>
      <c r="K41" s="101">
        <v>21.0</v>
      </c>
      <c r="L41" s="104">
        <v>904.0</v>
      </c>
      <c r="M41" s="101" t="s">
        <v>538</v>
      </c>
      <c r="N41" s="105">
        <v>44583.94608796296</v>
      </c>
    </row>
    <row r="42">
      <c r="A42" s="101">
        <v>41.0</v>
      </c>
      <c r="B42" s="102" t="s">
        <v>633</v>
      </c>
      <c r="C42" s="101" t="s">
        <v>515</v>
      </c>
      <c r="D42" s="106" t="s">
        <v>634</v>
      </c>
      <c r="E42" s="101" t="s">
        <v>516</v>
      </c>
      <c r="F42" s="101" t="s">
        <v>352</v>
      </c>
      <c r="G42" s="101" t="s">
        <v>352</v>
      </c>
      <c r="H42" s="101" t="s">
        <v>635</v>
      </c>
      <c r="I42" s="103">
        <v>7.600209444E9</v>
      </c>
      <c r="J42" s="103" t="s">
        <v>636</v>
      </c>
      <c r="K42" s="101">
        <v>7.0</v>
      </c>
      <c r="L42" s="104">
        <v>0.0</v>
      </c>
      <c r="M42" s="101" t="s">
        <v>523</v>
      </c>
      <c r="N42" s="105">
        <v>44581.85920138889</v>
      </c>
    </row>
    <row r="43">
      <c r="A43" s="101">
        <v>42.0</v>
      </c>
      <c r="B43" s="102" t="s">
        <v>637</v>
      </c>
      <c r="C43" s="101" t="s">
        <v>515</v>
      </c>
      <c r="D43" s="106" t="s">
        <v>594</v>
      </c>
      <c r="E43" s="101" t="s">
        <v>516</v>
      </c>
      <c r="F43" s="101" t="s">
        <v>540</v>
      </c>
      <c r="G43" s="101" t="s">
        <v>540</v>
      </c>
      <c r="H43" s="101" t="s">
        <v>638</v>
      </c>
      <c r="I43" s="103">
        <v>1.08533589E8</v>
      </c>
      <c r="J43" s="103">
        <v>1.1393669987592E13</v>
      </c>
      <c r="K43" s="101">
        <v>7.0</v>
      </c>
      <c r="L43" s="104">
        <v>281.0</v>
      </c>
      <c r="M43" s="101" t="s">
        <v>523</v>
      </c>
      <c r="N43" s="105">
        <v>44553.764189814814</v>
      </c>
    </row>
    <row r="44">
      <c r="A44" s="101">
        <v>43.0</v>
      </c>
      <c r="B44" s="102" t="s">
        <v>639</v>
      </c>
      <c r="C44" s="101" t="s">
        <v>515</v>
      </c>
      <c r="D44" s="106" t="s">
        <v>567</v>
      </c>
      <c r="E44" s="101" t="s">
        <v>516</v>
      </c>
      <c r="F44" s="101" t="s">
        <v>575</v>
      </c>
      <c r="G44" s="101" t="s">
        <v>575</v>
      </c>
      <c r="H44" s="101" t="s">
        <v>640</v>
      </c>
      <c r="I44" s="103">
        <v>1.13322903E8</v>
      </c>
      <c r="J44" s="6">
        <f>+393488096557</f>
        <v>393488096557</v>
      </c>
      <c r="K44" s="101">
        <v>7.0</v>
      </c>
      <c r="L44" s="104">
        <v>268.0</v>
      </c>
      <c r="M44" s="101" t="s">
        <v>523</v>
      </c>
      <c r="N44" s="105">
        <v>44540.60109953704</v>
      </c>
    </row>
    <row r="45">
      <c r="A45" s="101">
        <v>44.0</v>
      </c>
      <c r="B45" s="102" t="s">
        <v>641</v>
      </c>
      <c r="C45" s="101" t="s">
        <v>515</v>
      </c>
      <c r="D45" s="106" t="s">
        <v>622</v>
      </c>
      <c r="E45" s="101" t="s">
        <v>516</v>
      </c>
      <c r="F45" s="101" t="s">
        <v>376</v>
      </c>
      <c r="G45" s="101" t="s">
        <v>642</v>
      </c>
      <c r="H45" s="101" t="s">
        <v>643</v>
      </c>
      <c r="I45" s="103">
        <v>2.2300554015E10</v>
      </c>
      <c r="J45" s="103">
        <v>3.93341582306E11</v>
      </c>
      <c r="K45" s="101">
        <v>9.0</v>
      </c>
      <c r="L45" s="104">
        <v>255.0</v>
      </c>
      <c r="M45" s="101" t="s">
        <v>523</v>
      </c>
      <c r="N45" s="105">
        <v>44500.157002314816</v>
      </c>
    </row>
    <row r="46">
      <c r="A46" s="101">
        <v>45.0</v>
      </c>
      <c r="B46" s="102" t="s">
        <v>644</v>
      </c>
      <c r="C46" s="101" t="s">
        <v>515</v>
      </c>
      <c r="D46" s="106" t="s">
        <v>550</v>
      </c>
      <c r="E46" s="101" t="s">
        <v>516</v>
      </c>
      <c r="F46" s="101" t="s">
        <v>484</v>
      </c>
      <c r="G46" s="101" t="s">
        <v>484</v>
      </c>
      <c r="H46" s="101" t="s">
        <v>645</v>
      </c>
      <c r="I46" s="103">
        <v>4.90050341E9</v>
      </c>
      <c r="J46" s="103" t="s">
        <v>646</v>
      </c>
      <c r="K46" s="101">
        <v>7.0</v>
      </c>
      <c r="L46" s="104">
        <v>133.0</v>
      </c>
      <c r="M46" s="101" t="s">
        <v>523</v>
      </c>
      <c r="N46" s="105">
        <v>44496.34725694444</v>
      </c>
    </row>
    <row r="47">
      <c r="A47" s="101">
        <v>46.0</v>
      </c>
      <c r="B47" s="102" t="s">
        <v>647</v>
      </c>
      <c r="C47" s="101" t="s">
        <v>515</v>
      </c>
      <c r="D47" s="106" t="s">
        <v>550</v>
      </c>
      <c r="E47" s="101" t="s">
        <v>516</v>
      </c>
      <c r="F47" s="101" t="s">
        <v>484</v>
      </c>
      <c r="G47" s="101" t="s">
        <v>484</v>
      </c>
      <c r="H47" s="101" t="s">
        <v>648</v>
      </c>
      <c r="I47" s="103">
        <v>1.08856824E8</v>
      </c>
      <c r="J47" s="103">
        <v>1.1393313413944E13</v>
      </c>
      <c r="K47" s="101">
        <v>7.0</v>
      </c>
      <c r="L47" s="104">
        <v>80.0</v>
      </c>
      <c r="M47" s="101" t="s">
        <v>523</v>
      </c>
      <c r="N47" s="105">
        <v>44492.22857638889</v>
      </c>
    </row>
    <row r="48">
      <c r="A48" s="101">
        <v>47.0</v>
      </c>
      <c r="B48" s="102" t="s">
        <v>649</v>
      </c>
      <c r="C48" s="101" t="s">
        <v>515</v>
      </c>
      <c r="D48" s="106" t="s">
        <v>650</v>
      </c>
      <c r="E48" s="101" t="s">
        <v>516</v>
      </c>
      <c r="F48" s="101" t="s">
        <v>364</v>
      </c>
      <c r="G48" s="101" t="s">
        <v>364</v>
      </c>
      <c r="H48" s="101" t="s">
        <v>651</v>
      </c>
      <c r="I48" s="103">
        <v>1.02872827E8</v>
      </c>
      <c r="J48" s="103" t="s">
        <v>652</v>
      </c>
      <c r="K48" s="101">
        <v>8.0</v>
      </c>
      <c r="L48" s="104">
        <v>113.0</v>
      </c>
      <c r="M48" s="101" t="s">
        <v>523</v>
      </c>
      <c r="N48" s="105">
        <v>44491.336689814816</v>
      </c>
    </row>
    <row r="49">
      <c r="A49" s="101">
        <v>48.0</v>
      </c>
      <c r="B49" s="102" t="s">
        <v>653</v>
      </c>
      <c r="C49" s="101" t="s">
        <v>515</v>
      </c>
      <c r="D49" s="106" t="s">
        <v>550</v>
      </c>
      <c r="E49" s="101" t="s">
        <v>516</v>
      </c>
      <c r="F49" s="101" t="s">
        <v>484</v>
      </c>
      <c r="G49" s="101" t="s">
        <v>484</v>
      </c>
      <c r="H49" s="101" t="s">
        <v>654</v>
      </c>
      <c r="I49" s="103">
        <v>5.500263354E9</v>
      </c>
      <c r="J49" s="103" t="s">
        <v>655</v>
      </c>
      <c r="K49" s="101">
        <v>8.0</v>
      </c>
      <c r="L49" s="104">
        <v>143.0</v>
      </c>
      <c r="M49" s="101" t="s">
        <v>523</v>
      </c>
      <c r="N49" s="105">
        <v>44489.52564814815</v>
      </c>
    </row>
    <row r="50">
      <c r="A50" s="101">
        <v>49.0</v>
      </c>
      <c r="B50" s="102" t="s">
        <v>656</v>
      </c>
      <c r="C50" s="101" t="s">
        <v>515</v>
      </c>
      <c r="D50" s="106" t="s">
        <v>567</v>
      </c>
      <c r="E50" s="101" t="s">
        <v>516</v>
      </c>
      <c r="F50" s="101" t="s">
        <v>382</v>
      </c>
      <c r="G50" s="101" t="s">
        <v>382</v>
      </c>
      <c r="H50" s="101" t="s">
        <v>657</v>
      </c>
      <c r="I50" s="103">
        <v>1.00180025E8</v>
      </c>
      <c r="J50" s="103" t="s">
        <v>658</v>
      </c>
      <c r="K50" s="101">
        <v>7.0</v>
      </c>
      <c r="L50" s="104">
        <v>214.0</v>
      </c>
      <c r="M50" s="101" t="s">
        <v>523</v>
      </c>
      <c r="N50" s="105">
        <v>44470.349907407406</v>
      </c>
    </row>
    <row r="51">
      <c r="I51" s="6"/>
      <c r="J51" s="6"/>
      <c r="N51" s="6"/>
    </row>
    <row r="52">
      <c r="I52" s="6"/>
      <c r="J52" s="6"/>
      <c r="N52" s="6"/>
    </row>
    <row r="53">
      <c r="I53" s="6"/>
      <c r="J53" s="6"/>
      <c r="N53" s="6"/>
    </row>
    <row r="54">
      <c r="I54" s="6"/>
      <c r="J54" s="6"/>
      <c r="N54" s="6"/>
    </row>
    <row r="55">
      <c r="I55" s="6"/>
      <c r="J55" s="6"/>
      <c r="N55" s="6"/>
    </row>
    <row r="56">
      <c r="I56" s="6"/>
      <c r="J56" s="6"/>
      <c r="N56" s="6"/>
    </row>
    <row r="57">
      <c r="I57" s="6"/>
      <c r="J57" s="6"/>
      <c r="N57" s="6"/>
    </row>
    <row r="58">
      <c r="I58" s="6"/>
      <c r="J58" s="6"/>
      <c r="N58" s="6"/>
    </row>
    <row r="59">
      <c r="I59" s="6"/>
      <c r="J59" s="6"/>
      <c r="N59" s="6"/>
    </row>
    <row r="60">
      <c r="I60" s="6"/>
      <c r="J60" s="6"/>
      <c r="N60" s="6"/>
    </row>
    <row r="61">
      <c r="I61" s="6"/>
      <c r="J61" s="6"/>
      <c r="N61" s="6"/>
    </row>
    <row r="62">
      <c r="I62" s="6"/>
      <c r="J62" s="6"/>
      <c r="N62" s="6"/>
    </row>
    <row r="63">
      <c r="I63" s="6"/>
      <c r="J63" s="6"/>
      <c r="N63" s="6"/>
    </row>
    <row r="64">
      <c r="I64" s="6"/>
      <c r="J64" s="6"/>
      <c r="N64" s="6"/>
    </row>
    <row r="65">
      <c r="I65" s="6"/>
      <c r="J65" s="6"/>
      <c r="N65" s="6"/>
    </row>
    <row r="66">
      <c r="I66" s="6"/>
      <c r="J66" s="6"/>
      <c r="N66" s="6"/>
    </row>
    <row r="67">
      <c r="I67" s="6"/>
      <c r="J67" s="6"/>
      <c r="N67" s="6"/>
    </row>
    <row r="68">
      <c r="I68" s="6"/>
      <c r="J68" s="6"/>
      <c r="N68" s="6"/>
    </row>
    <row r="69">
      <c r="I69" s="6"/>
      <c r="J69" s="6"/>
      <c r="N69" s="6"/>
    </row>
    <row r="70">
      <c r="I70" s="6"/>
      <c r="J70" s="6"/>
      <c r="N70" s="6"/>
    </row>
    <row r="71">
      <c r="I71" s="6"/>
      <c r="J71" s="6"/>
      <c r="N71" s="6"/>
    </row>
    <row r="72">
      <c r="I72" s="6"/>
      <c r="J72" s="6"/>
      <c r="N72" s="6"/>
    </row>
    <row r="73">
      <c r="I73" s="6"/>
      <c r="J73" s="6"/>
      <c r="N73" s="6"/>
    </row>
    <row r="74">
      <c r="I74" s="6"/>
      <c r="J74" s="6"/>
      <c r="N74" s="6"/>
    </row>
    <row r="75">
      <c r="I75" s="6"/>
      <c r="J75" s="6"/>
      <c r="N75" s="6"/>
    </row>
    <row r="76">
      <c r="I76" s="6"/>
      <c r="J76" s="6"/>
      <c r="N76" s="6"/>
    </row>
    <row r="77">
      <c r="I77" s="6"/>
      <c r="J77" s="6"/>
      <c r="N77" s="6"/>
    </row>
    <row r="78">
      <c r="I78" s="6"/>
      <c r="J78" s="6"/>
      <c r="N78" s="6"/>
    </row>
    <row r="79">
      <c r="I79" s="6"/>
      <c r="J79" s="6"/>
      <c r="N79" s="6"/>
    </row>
    <row r="80">
      <c r="I80" s="6"/>
      <c r="J80" s="6"/>
      <c r="N80" s="6"/>
    </row>
    <row r="81">
      <c r="I81" s="6"/>
      <c r="J81" s="6"/>
      <c r="N81" s="6"/>
    </row>
    <row r="82">
      <c r="I82" s="6"/>
      <c r="J82" s="6"/>
      <c r="N82" s="6"/>
    </row>
    <row r="83">
      <c r="I83" s="6"/>
      <c r="J83" s="6"/>
      <c r="N83" s="6"/>
    </row>
    <row r="84">
      <c r="I84" s="6"/>
      <c r="J84" s="6"/>
      <c r="N84" s="6"/>
    </row>
    <row r="85">
      <c r="I85" s="6"/>
      <c r="J85" s="6"/>
      <c r="N85" s="6"/>
    </row>
    <row r="86">
      <c r="I86" s="6"/>
      <c r="J86" s="6"/>
      <c r="N86" s="6"/>
    </row>
    <row r="87">
      <c r="I87" s="6"/>
      <c r="J87" s="6"/>
      <c r="N87" s="6"/>
    </row>
    <row r="88">
      <c r="I88" s="6"/>
      <c r="J88" s="6"/>
      <c r="N88" s="6"/>
    </row>
    <row r="89">
      <c r="I89" s="6"/>
      <c r="J89" s="6"/>
      <c r="N89" s="6"/>
    </row>
    <row r="90">
      <c r="I90" s="6"/>
      <c r="J90" s="6"/>
      <c r="N90" s="6"/>
    </row>
    <row r="91">
      <c r="I91" s="6"/>
      <c r="J91" s="6"/>
      <c r="N91" s="6"/>
    </row>
    <row r="92">
      <c r="I92" s="6"/>
      <c r="J92" s="6"/>
      <c r="N92" s="6"/>
    </row>
    <row r="93">
      <c r="I93" s="6"/>
      <c r="J93" s="6"/>
      <c r="N93" s="6"/>
    </row>
    <row r="94">
      <c r="I94" s="6"/>
      <c r="J94" s="6"/>
      <c r="N94" s="6"/>
    </row>
    <row r="95">
      <c r="I95" s="6"/>
      <c r="J95" s="6"/>
      <c r="N95" s="6"/>
    </row>
    <row r="96">
      <c r="I96" s="6"/>
      <c r="J96" s="6"/>
      <c r="N96" s="6"/>
    </row>
    <row r="97">
      <c r="I97" s="6"/>
      <c r="J97" s="6"/>
      <c r="N97" s="6"/>
    </row>
    <row r="98">
      <c r="I98" s="6"/>
      <c r="J98" s="6"/>
      <c r="N98" s="6"/>
    </row>
    <row r="99">
      <c r="I99" s="6"/>
      <c r="J99" s="6"/>
      <c r="N99" s="6"/>
    </row>
    <row r="100">
      <c r="I100" s="6"/>
      <c r="J100" s="6"/>
      <c r="N100" s="6"/>
    </row>
    <row r="101">
      <c r="I101" s="6"/>
      <c r="J101" s="6"/>
      <c r="N101" s="6"/>
    </row>
    <row r="102">
      <c r="I102" s="6"/>
      <c r="J102" s="6"/>
      <c r="N102" s="6"/>
    </row>
    <row r="103">
      <c r="I103" s="6"/>
      <c r="J103" s="6"/>
      <c r="N103" s="6"/>
    </row>
    <row r="104">
      <c r="I104" s="6"/>
      <c r="J104" s="6"/>
      <c r="N104" s="6"/>
    </row>
    <row r="105">
      <c r="I105" s="6"/>
      <c r="J105" s="6"/>
      <c r="N105" s="6"/>
    </row>
    <row r="106">
      <c r="I106" s="6"/>
      <c r="J106" s="6"/>
      <c r="N106" s="6"/>
    </row>
    <row r="107">
      <c r="I107" s="6"/>
      <c r="J107" s="6"/>
      <c r="N107" s="6"/>
    </row>
    <row r="108">
      <c r="I108" s="6"/>
      <c r="J108" s="6"/>
      <c r="N108" s="6"/>
    </row>
    <row r="109">
      <c r="I109" s="6"/>
      <c r="J109" s="6"/>
      <c r="N109" s="6"/>
    </row>
    <row r="110">
      <c r="I110" s="6"/>
      <c r="J110" s="6"/>
      <c r="N110" s="6"/>
    </row>
    <row r="111">
      <c r="I111" s="6"/>
      <c r="J111" s="6"/>
      <c r="N111" s="6"/>
    </row>
    <row r="112">
      <c r="I112" s="6"/>
      <c r="J112" s="6"/>
      <c r="N112" s="6"/>
    </row>
    <row r="113">
      <c r="I113" s="6"/>
      <c r="J113" s="6"/>
      <c r="N113" s="6"/>
    </row>
    <row r="114">
      <c r="I114" s="6"/>
      <c r="J114" s="6"/>
      <c r="N114" s="6"/>
    </row>
    <row r="115">
      <c r="I115" s="6"/>
      <c r="J115" s="6"/>
      <c r="N115" s="6"/>
    </row>
    <row r="116">
      <c r="I116" s="6"/>
      <c r="J116" s="6"/>
      <c r="N116" s="6"/>
    </row>
    <row r="117">
      <c r="I117" s="6"/>
      <c r="J117" s="6"/>
      <c r="N117" s="6"/>
    </row>
    <row r="118">
      <c r="I118" s="6"/>
      <c r="J118" s="6"/>
      <c r="N118" s="6"/>
    </row>
    <row r="119">
      <c r="I119" s="6"/>
      <c r="J119" s="6"/>
      <c r="N119" s="6"/>
    </row>
    <row r="120">
      <c r="I120" s="6"/>
      <c r="J120" s="6"/>
      <c r="N120" s="6"/>
    </row>
    <row r="121">
      <c r="I121" s="6"/>
      <c r="J121" s="6"/>
      <c r="N121" s="6"/>
    </row>
    <row r="122">
      <c r="I122" s="6"/>
      <c r="J122" s="6"/>
      <c r="N122" s="6"/>
    </row>
    <row r="123">
      <c r="I123" s="6"/>
      <c r="J123" s="6"/>
      <c r="N123" s="6"/>
    </row>
    <row r="124">
      <c r="I124" s="6"/>
      <c r="J124" s="6"/>
      <c r="N124" s="6"/>
    </row>
    <row r="125">
      <c r="I125" s="6"/>
      <c r="J125" s="6"/>
      <c r="N125" s="6"/>
    </row>
    <row r="126">
      <c r="I126" s="6"/>
      <c r="J126" s="6"/>
      <c r="N126" s="6"/>
    </row>
    <row r="127">
      <c r="I127" s="6"/>
      <c r="J127" s="6"/>
      <c r="N127" s="6"/>
    </row>
    <row r="128">
      <c r="I128" s="6"/>
      <c r="J128" s="6"/>
      <c r="N128" s="6"/>
    </row>
    <row r="129">
      <c r="I129" s="6"/>
      <c r="J129" s="6"/>
      <c r="N129" s="6"/>
    </row>
    <row r="130">
      <c r="I130" s="6"/>
      <c r="J130" s="6"/>
      <c r="N130" s="6"/>
    </row>
    <row r="131">
      <c r="I131" s="6"/>
      <c r="J131" s="6"/>
      <c r="N131" s="6"/>
    </row>
    <row r="132">
      <c r="I132" s="6"/>
      <c r="J132" s="6"/>
      <c r="N132" s="6"/>
    </row>
    <row r="133">
      <c r="I133" s="6"/>
      <c r="J133" s="6"/>
      <c r="N133" s="6"/>
    </row>
    <row r="134">
      <c r="I134" s="6"/>
      <c r="J134" s="6"/>
      <c r="N134" s="6"/>
    </row>
    <row r="135">
      <c r="I135" s="6"/>
      <c r="J135" s="6"/>
      <c r="N135" s="6"/>
    </row>
    <row r="136">
      <c r="I136" s="6"/>
      <c r="J136" s="6"/>
      <c r="N136" s="6"/>
    </row>
    <row r="137">
      <c r="I137" s="6"/>
      <c r="J137" s="6"/>
      <c r="N137" s="6"/>
    </row>
    <row r="138">
      <c r="I138" s="6"/>
      <c r="J138" s="6"/>
      <c r="N138" s="6"/>
    </row>
    <row r="139">
      <c r="I139" s="6"/>
      <c r="J139" s="6"/>
      <c r="N139" s="6"/>
    </row>
    <row r="140">
      <c r="I140" s="6"/>
      <c r="J140" s="6"/>
      <c r="N140" s="6"/>
    </row>
    <row r="141">
      <c r="I141" s="6"/>
      <c r="J141" s="6"/>
      <c r="N141" s="6"/>
    </row>
    <row r="142">
      <c r="I142" s="6"/>
      <c r="J142" s="6"/>
      <c r="N142" s="6"/>
    </row>
    <row r="143">
      <c r="I143" s="6"/>
      <c r="J143" s="6"/>
      <c r="N143" s="6"/>
    </row>
    <row r="144">
      <c r="I144" s="6"/>
      <c r="J144" s="6"/>
      <c r="N144" s="6"/>
    </row>
    <row r="145">
      <c r="I145" s="6"/>
      <c r="J145" s="6"/>
      <c r="N145" s="6"/>
    </row>
    <row r="146">
      <c r="I146" s="6"/>
      <c r="J146" s="6"/>
      <c r="N146" s="6"/>
    </row>
    <row r="147">
      <c r="I147" s="6"/>
      <c r="J147" s="6"/>
      <c r="N147" s="6"/>
    </row>
    <row r="148">
      <c r="I148" s="6"/>
      <c r="J148" s="6"/>
      <c r="N148" s="6"/>
    </row>
    <row r="149">
      <c r="I149" s="6"/>
      <c r="J149" s="6"/>
      <c r="N149" s="6"/>
    </row>
    <row r="150">
      <c r="I150" s="6"/>
      <c r="J150" s="6"/>
      <c r="N150" s="6"/>
    </row>
    <row r="151">
      <c r="I151" s="6"/>
      <c r="J151" s="6"/>
      <c r="N151" s="6"/>
    </row>
    <row r="152">
      <c r="I152" s="6"/>
      <c r="J152" s="6"/>
      <c r="N152" s="6"/>
    </row>
    <row r="153">
      <c r="I153" s="6"/>
      <c r="J153" s="6"/>
      <c r="N153" s="6"/>
    </row>
    <row r="154">
      <c r="I154" s="6"/>
      <c r="J154" s="6"/>
      <c r="N154" s="6"/>
    </row>
    <row r="155">
      <c r="I155" s="6"/>
      <c r="J155" s="6"/>
      <c r="N155" s="6"/>
    </row>
    <row r="156">
      <c r="I156" s="6"/>
      <c r="J156" s="6"/>
      <c r="N156" s="6"/>
    </row>
    <row r="157">
      <c r="I157" s="6"/>
      <c r="J157" s="6"/>
      <c r="N157" s="6"/>
    </row>
    <row r="158">
      <c r="I158" s="6"/>
      <c r="J158" s="6"/>
      <c r="N158" s="6"/>
    </row>
    <row r="159">
      <c r="I159" s="6"/>
      <c r="J159" s="6"/>
      <c r="N159" s="6"/>
    </row>
    <row r="160">
      <c r="I160" s="6"/>
      <c r="J160" s="6"/>
      <c r="N160" s="6"/>
    </row>
    <row r="161">
      <c r="I161" s="6"/>
      <c r="J161" s="6"/>
      <c r="N161" s="6"/>
    </row>
    <row r="162">
      <c r="I162" s="6"/>
      <c r="J162" s="6"/>
      <c r="N162" s="6"/>
    </row>
    <row r="163">
      <c r="I163" s="6"/>
      <c r="J163" s="6"/>
      <c r="N163" s="6"/>
    </row>
    <row r="164">
      <c r="I164" s="6"/>
      <c r="J164" s="6"/>
      <c r="N164" s="6"/>
    </row>
    <row r="165">
      <c r="I165" s="6"/>
      <c r="J165" s="6"/>
      <c r="N165" s="6"/>
    </row>
    <row r="166">
      <c r="I166" s="6"/>
      <c r="J166" s="6"/>
      <c r="N166" s="6"/>
    </row>
    <row r="167">
      <c r="I167" s="6"/>
      <c r="J167" s="6"/>
      <c r="N167" s="6"/>
    </row>
    <row r="168">
      <c r="I168" s="6"/>
      <c r="J168" s="6"/>
      <c r="N168" s="6"/>
    </row>
    <row r="169">
      <c r="I169" s="6"/>
      <c r="J169" s="6"/>
      <c r="N169" s="6"/>
    </row>
    <row r="170">
      <c r="I170" s="6"/>
      <c r="J170" s="6"/>
      <c r="N170" s="6"/>
    </row>
    <row r="171">
      <c r="I171" s="6"/>
      <c r="J171" s="6"/>
      <c r="N171" s="6"/>
    </row>
    <row r="172">
      <c r="I172" s="6"/>
      <c r="J172" s="6"/>
      <c r="N172" s="6"/>
    </row>
    <row r="173">
      <c r="I173" s="6"/>
      <c r="J173" s="6"/>
      <c r="N173" s="6"/>
    </row>
    <row r="174">
      <c r="I174" s="6"/>
      <c r="J174" s="6"/>
      <c r="N174" s="6"/>
    </row>
    <row r="175">
      <c r="I175" s="6"/>
      <c r="J175" s="6"/>
      <c r="N175" s="6"/>
    </row>
    <row r="176">
      <c r="I176" s="6"/>
      <c r="J176" s="6"/>
      <c r="N176" s="6"/>
    </row>
    <row r="177">
      <c r="I177" s="6"/>
      <c r="J177" s="6"/>
      <c r="N177" s="6"/>
    </row>
    <row r="178">
      <c r="I178" s="6"/>
      <c r="J178" s="6"/>
      <c r="N178" s="6"/>
    </row>
    <row r="179">
      <c r="I179" s="6"/>
      <c r="J179" s="6"/>
      <c r="N179" s="6"/>
    </row>
    <row r="180">
      <c r="I180" s="6"/>
      <c r="J180" s="6"/>
      <c r="N180" s="6"/>
    </row>
    <row r="181">
      <c r="I181" s="6"/>
      <c r="J181" s="6"/>
      <c r="N181" s="6"/>
    </row>
    <row r="182">
      <c r="I182" s="6"/>
      <c r="J182" s="6"/>
      <c r="N182" s="6"/>
    </row>
    <row r="183">
      <c r="I183" s="6"/>
      <c r="J183" s="6"/>
      <c r="N183" s="6"/>
    </row>
    <row r="184">
      <c r="I184" s="6"/>
      <c r="J184" s="6"/>
      <c r="N184" s="6"/>
    </row>
    <row r="185">
      <c r="I185" s="6"/>
      <c r="J185" s="6"/>
      <c r="N185" s="6"/>
    </row>
    <row r="186">
      <c r="I186" s="6"/>
      <c r="J186" s="6"/>
      <c r="N186" s="6"/>
    </row>
    <row r="187">
      <c r="I187" s="6"/>
      <c r="J187" s="6"/>
      <c r="N187" s="6"/>
    </row>
    <row r="188">
      <c r="I188" s="6"/>
      <c r="J188" s="6"/>
      <c r="N188" s="6"/>
    </row>
    <row r="189">
      <c r="I189" s="6"/>
      <c r="J189" s="6"/>
      <c r="N189" s="6"/>
    </row>
    <row r="190">
      <c r="I190" s="6"/>
      <c r="J190" s="6"/>
      <c r="N190" s="6"/>
    </row>
    <row r="191">
      <c r="I191" s="6"/>
      <c r="J191" s="6"/>
      <c r="N191" s="6"/>
    </row>
    <row r="192">
      <c r="I192" s="6"/>
      <c r="J192" s="6"/>
      <c r="N192" s="6"/>
    </row>
    <row r="193">
      <c r="I193" s="6"/>
      <c r="J193" s="6"/>
      <c r="N193" s="6"/>
    </row>
    <row r="194">
      <c r="I194" s="6"/>
      <c r="J194" s="6"/>
      <c r="N194" s="6"/>
    </row>
    <row r="195">
      <c r="I195" s="6"/>
      <c r="J195" s="6"/>
      <c r="N195" s="6"/>
    </row>
    <row r="196">
      <c r="I196" s="6"/>
      <c r="J196" s="6"/>
      <c r="N196" s="6"/>
    </row>
    <row r="197">
      <c r="I197" s="6"/>
      <c r="J197" s="6"/>
      <c r="N197" s="6"/>
    </row>
    <row r="198">
      <c r="I198" s="6"/>
      <c r="J198" s="6"/>
      <c r="N198" s="6"/>
    </row>
    <row r="199">
      <c r="I199" s="6"/>
      <c r="J199" s="6"/>
      <c r="N199" s="6"/>
    </row>
    <row r="200">
      <c r="I200" s="6"/>
      <c r="J200" s="6"/>
      <c r="N200" s="6"/>
    </row>
    <row r="201">
      <c r="I201" s="6"/>
      <c r="J201" s="6"/>
      <c r="N201" s="6"/>
    </row>
    <row r="202">
      <c r="I202" s="6"/>
      <c r="J202" s="6"/>
      <c r="N202" s="6"/>
    </row>
    <row r="203">
      <c r="I203" s="6"/>
      <c r="J203" s="6"/>
      <c r="N203" s="6"/>
    </row>
    <row r="204">
      <c r="I204" s="6"/>
      <c r="J204" s="6"/>
      <c r="N204" s="6"/>
    </row>
    <row r="205">
      <c r="I205" s="6"/>
      <c r="J205" s="6"/>
      <c r="N205" s="6"/>
    </row>
    <row r="206">
      <c r="I206" s="6"/>
      <c r="J206" s="6"/>
      <c r="N206" s="6"/>
    </row>
    <row r="207">
      <c r="I207" s="6"/>
      <c r="J207" s="6"/>
      <c r="N207" s="6"/>
    </row>
    <row r="208">
      <c r="I208" s="6"/>
      <c r="J208" s="6"/>
      <c r="N208" s="6"/>
    </row>
    <row r="209">
      <c r="I209" s="6"/>
      <c r="J209" s="6"/>
      <c r="N209" s="6"/>
    </row>
    <row r="210">
      <c r="I210" s="6"/>
      <c r="J210" s="6"/>
      <c r="N210" s="6"/>
    </row>
    <row r="211">
      <c r="I211" s="6"/>
      <c r="J211" s="6"/>
      <c r="N211" s="6"/>
    </row>
    <row r="212">
      <c r="I212" s="6"/>
      <c r="J212" s="6"/>
      <c r="N212" s="6"/>
    </row>
    <row r="213">
      <c r="I213" s="6"/>
      <c r="J213" s="6"/>
      <c r="N213" s="6"/>
    </row>
    <row r="214">
      <c r="I214" s="6"/>
      <c r="J214" s="6"/>
      <c r="N214" s="6"/>
    </row>
    <row r="215">
      <c r="I215" s="6"/>
      <c r="J215" s="6"/>
      <c r="N215" s="6"/>
    </row>
    <row r="216">
      <c r="I216" s="6"/>
      <c r="J216" s="6"/>
      <c r="N216" s="6"/>
    </row>
    <row r="217">
      <c r="I217" s="6"/>
      <c r="J217" s="6"/>
      <c r="N217" s="6"/>
    </row>
    <row r="218">
      <c r="I218" s="6"/>
      <c r="J218" s="6"/>
      <c r="N218" s="6"/>
    </row>
    <row r="219">
      <c r="I219" s="6"/>
      <c r="J219" s="6"/>
      <c r="N219" s="6"/>
    </row>
    <row r="220">
      <c r="I220" s="6"/>
      <c r="J220" s="6"/>
      <c r="N220" s="6"/>
    </row>
    <row r="221">
      <c r="I221" s="6"/>
      <c r="J221" s="6"/>
      <c r="N221" s="6"/>
    </row>
    <row r="222">
      <c r="I222" s="6"/>
      <c r="J222" s="6"/>
      <c r="N222" s="6"/>
    </row>
    <row r="223">
      <c r="I223" s="6"/>
      <c r="J223" s="6"/>
      <c r="N223" s="6"/>
    </row>
    <row r="224">
      <c r="I224" s="6"/>
      <c r="J224" s="6"/>
      <c r="N224" s="6"/>
    </row>
    <row r="225">
      <c r="I225" s="6"/>
      <c r="J225" s="6"/>
      <c r="N225" s="6"/>
    </row>
    <row r="226">
      <c r="I226" s="6"/>
      <c r="J226" s="6"/>
      <c r="N226" s="6"/>
    </row>
    <row r="227">
      <c r="I227" s="6"/>
      <c r="J227" s="6"/>
      <c r="N227" s="6"/>
    </row>
    <row r="228">
      <c r="I228" s="6"/>
      <c r="J228" s="6"/>
      <c r="N228" s="6"/>
    </row>
    <row r="229">
      <c r="I229" s="6"/>
      <c r="J229" s="6"/>
      <c r="N229" s="6"/>
    </row>
    <row r="230">
      <c r="I230" s="6"/>
      <c r="J230" s="6"/>
      <c r="N230" s="6"/>
    </row>
    <row r="231">
      <c r="I231" s="6"/>
      <c r="J231" s="6"/>
      <c r="N231" s="6"/>
    </row>
    <row r="232">
      <c r="I232" s="6"/>
      <c r="J232" s="6"/>
      <c r="N232" s="6"/>
    </row>
    <row r="233">
      <c r="I233" s="6"/>
      <c r="J233" s="6"/>
      <c r="N233" s="6"/>
    </row>
    <row r="234">
      <c r="I234" s="6"/>
      <c r="J234" s="6"/>
      <c r="N234" s="6"/>
    </row>
    <row r="235">
      <c r="I235" s="6"/>
      <c r="J235" s="6"/>
      <c r="N235" s="6"/>
    </row>
    <row r="236">
      <c r="I236" s="6"/>
      <c r="J236" s="6"/>
      <c r="N236" s="6"/>
    </row>
    <row r="237">
      <c r="I237" s="6"/>
      <c r="J237" s="6"/>
      <c r="N237" s="6"/>
    </row>
    <row r="238">
      <c r="I238" s="6"/>
      <c r="J238" s="6"/>
      <c r="N238" s="6"/>
    </row>
    <row r="239">
      <c r="I239" s="6"/>
      <c r="J239" s="6"/>
      <c r="N239" s="6"/>
    </row>
    <row r="240">
      <c r="I240" s="6"/>
      <c r="J240" s="6"/>
      <c r="N240" s="6"/>
    </row>
    <row r="241">
      <c r="I241" s="6"/>
      <c r="J241" s="6"/>
      <c r="N241" s="6"/>
    </row>
    <row r="242">
      <c r="I242" s="6"/>
      <c r="J242" s="6"/>
      <c r="N242" s="6"/>
    </row>
    <row r="243">
      <c r="I243" s="6"/>
      <c r="J243" s="6"/>
      <c r="N243" s="6"/>
    </row>
    <row r="244">
      <c r="I244" s="6"/>
      <c r="J244" s="6"/>
      <c r="N244" s="6"/>
    </row>
    <row r="245">
      <c r="I245" s="6"/>
      <c r="J245" s="6"/>
      <c r="N245" s="6"/>
    </row>
    <row r="246">
      <c r="I246" s="6"/>
      <c r="J246" s="6"/>
      <c r="N246" s="6"/>
    </row>
    <row r="247">
      <c r="I247" s="6"/>
      <c r="J247" s="6"/>
      <c r="N247" s="6"/>
    </row>
    <row r="248">
      <c r="I248" s="6"/>
      <c r="J248" s="6"/>
      <c r="N248" s="6"/>
    </row>
    <row r="249">
      <c r="I249" s="6"/>
      <c r="J249" s="6"/>
      <c r="N249" s="6"/>
    </row>
    <row r="250">
      <c r="I250" s="6"/>
      <c r="J250" s="6"/>
      <c r="N250" s="6"/>
    </row>
    <row r="251">
      <c r="I251" s="6"/>
      <c r="J251" s="6"/>
      <c r="N251" s="6"/>
    </row>
    <row r="252">
      <c r="I252" s="6"/>
      <c r="J252" s="6"/>
      <c r="N252" s="6"/>
    </row>
    <row r="253">
      <c r="I253" s="6"/>
      <c r="J253" s="6"/>
      <c r="N253" s="6"/>
    </row>
    <row r="254">
      <c r="I254" s="6"/>
      <c r="J254" s="6"/>
      <c r="N254" s="6"/>
    </row>
    <row r="255">
      <c r="I255" s="6"/>
      <c r="J255" s="6"/>
      <c r="N255" s="6"/>
    </row>
    <row r="256">
      <c r="I256" s="6"/>
      <c r="J256" s="6"/>
      <c r="N256" s="6"/>
    </row>
    <row r="257">
      <c r="I257" s="6"/>
      <c r="J257" s="6"/>
      <c r="N257" s="6"/>
    </row>
    <row r="258">
      <c r="I258" s="6"/>
      <c r="J258" s="6"/>
      <c r="N258" s="6"/>
    </row>
    <row r="259">
      <c r="I259" s="6"/>
      <c r="J259" s="6"/>
      <c r="N259" s="6"/>
    </row>
    <row r="260">
      <c r="I260" s="6"/>
      <c r="J260" s="6"/>
      <c r="N260" s="6"/>
    </row>
    <row r="261">
      <c r="I261" s="6"/>
      <c r="J261" s="6"/>
      <c r="N261" s="6"/>
    </row>
    <row r="262">
      <c r="I262" s="6"/>
      <c r="J262" s="6"/>
      <c r="N262" s="6"/>
    </row>
    <row r="263">
      <c r="I263" s="6"/>
      <c r="J263" s="6"/>
      <c r="N263" s="6"/>
    </row>
    <row r="264">
      <c r="I264" s="6"/>
      <c r="J264" s="6"/>
      <c r="N264" s="6"/>
    </row>
    <row r="265">
      <c r="I265" s="6"/>
      <c r="J265" s="6"/>
      <c r="N265" s="6"/>
    </row>
    <row r="266">
      <c r="I266" s="6"/>
      <c r="J266" s="6"/>
      <c r="N266" s="6"/>
    </row>
    <row r="267">
      <c r="I267" s="6"/>
      <c r="J267" s="6"/>
      <c r="N267" s="6"/>
    </row>
    <row r="268">
      <c r="I268" s="6"/>
      <c r="J268" s="6"/>
      <c r="N268" s="6"/>
    </row>
    <row r="269">
      <c r="I269" s="6"/>
      <c r="J269" s="6"/>
      <c r="N269" s="6"/>
    </row>
    <row r="270">
      <c r="I270" s="6"/>
      <c r="J270" s="6"/>
      <c r="N270" s="6"/>
    </row>
    <row r="271">
      <c r="I271" s="6"/>
      <c r="J271" s="6"/>
      <c r="N271" s="6"/>
    </row>
    <row r="272">
      <c r="I272" s="6"/>
      <c r="J272" s="6"/>
      <c r="N272" s="6"/>
    </row>
    <row r="273">
      <c r="I273" s="6"/>
      <c r="J273" s="6"/>
      <c r="N273" s="6"/>
    </row>
    <row r="274">
      <c r="I274" s="6"/>
      <c r="J274" s="6"/>
      <c r="N274" s="6"/>
    </row>
    <row r="275">
      <c r="I275" s="6"/>
      <c r="J275" s="6"/>
      <c r="N275" s="6"/>
    </row>
    <row r="276">
      <c r="I276" s="6"/>
      <c r="J276" s="6"/>
      <c r="N276" s="6"/>
    </row>
    <row r="277">
      <c r="I277" s="6"/>
      <c r="J277" s="6"/>
      <c r="N277" s="6"/>
    </row>
    <row r="278">
      <c r="I278" s="6"/>
      <c r="J278" s="6"/>
      <c r="N278" s="6"/>
    </row>
    <row r="279">
      <c r="I279" s="6"/>
      <c r="J279" s="6"/>
      <c r="N279" s="6"/>
    </row>
    <row r="280">
      <c r="I280" s="6"/>
      <c r="J280" s="6"/>
      <c r="N280" s="6"/>
    </row>
    <row r="281">
      <c r="I281" s="6"/>
      <c r="J281" s="6"/>
      <c r="N281" s="6"/>
    </row>
    <row r="282">
      <c r="I282" s="6"/>
      <c r="J282" s="6"/>
      <c r="N282" s="6"/>
    </row>
    <row r="283">
      <c r="I283" s="6"/>
      <c r="J283" s="6"/>
      <c r="N283" s="6"/>
    </row>
    <row r="284">
      <c r="I284" s="6"/>
      <c r="J284" s="6"/>
      <c r="N284" s="6"/>
    </row>
    <row r="285">
      <c r="I285" s="6"/>
      <c r="J285" s="6"/>
      <c r="N285" s="6"/>
    </row>
    <row r="286">
      <c r="I286" s="6"/>
      <c r="J286" s="6"/>
      <c r="N286" s="6"/>
    </row>
    <row r="287">
      <c r="I287" s="6"/>
      <c r="J287" s="6"/>
      <c r="N287" s="6"/>
    </row>
    <row r="288">
      <c r="I288" s="6"/>
      <c r="J288" s="6"/>
      <c r="N288" s="6"/>
    </row>
    <row r="289">
      <c r="I289" s="6"/>
      <c r="J289" s="6"/>
      <c r="N289" s="6"/>
    </row>
    <row r="290">
      <c r="I290" s="6"/>
      <c r="J290" s="6"/>
      <c r="N290" s="6"/>
    </row>
    <row r="291">
      <c r="I291" s="6"/>
      <c r="J291" s="6"/>
      <c r="N291" s="6"/>
    </row>
    <row r="292">
      <c r="I292" s="6"/>
      <c r="J292" s="6"/>
      <c r="N292" s="6"/>
    </row>
    <row r="293">
      <c r="I293" s="6"/>
      <c r="J293" s="6"/>
      <c r="N293" s="6"/>
    </row>
    <row r="294">
      <c r="I294" s="6"/>
      <c r="J294" s="6"/>
      <c r="N294" s="6"/>
    </row>
    <row r="295">
      <c r="I295" s="6"/>
      <c r="J295" s="6"/>
      <c r="N295" s="6"/>
    </row>
    <row r="296">
      <c r="I296" s="6"/>
      <c r="J296" s="6"/>
      <c r="N296" s="6"/>
    </row>
    <row r="297">
      <c r="I297" s="6"/>
      <c r="J297" s="6"/>
      <c r="N297" s="6"/>
    </row>
    <row r="298">
      <c r="I298" s="6"/>
      <c r="J298" s="6"/>
      <c r="N298" s="6"/>
    </row>
    <row r="299">
      <c r="I299" s="6"/>
      <c r="J299" s="6"/>
      <c r="N299" s="6"/>
    </row>
    <row r="300">
      <c r="I300" s="6"/>
      <c r="J300" s="6"/>
      <c r="N300" s="6"/>
    </row>
    <row r="301">
      <c r="I301" s="6"/>
      <c r="J301" s="6"/>
      <c r="N301" s="6"/>
    </row>
    <row r="302">
      <c r="I302" s="6"/>
      <c r="J302" s="6"/>
      <c r="N302" s="6"/>
    </row>
    <row r="303">
      <c r="I303" s="6"/>
      <c r="J303" s="6"/>
      <c r="N303" s="6"/>
    </row>
    <row r="304">
      <c r="I304" s="6"/>
      <c r="J304" s="6"/>
      <c r="N304" s="6"/>
    </row>
    <row r="305">
      <c r="I305" s="6"/>
      <c r="J305" s="6"/>
      <c r="N305" s="6"/>
    </row>
    <row r="306">
      <c r="I306" s="6"/>
      <c r="J306" s="6"/>
      <c r="N306" s="6"/>
    </row>
    <row r="307">
      <c r="I307" s="6"/>
      <c r="J307" s="6"/>
      <c r="N307" s="6"/>
    </row>
    <row r="308">
      <c r="I308" s="6"/>
      <c r="J308" s="6"/>
      <c r="N308" s="6"/>
    </row>
    <row r="309">
      <c r="I309" s="6"/>
      <c r="J309" s="6"/>
      <c r="N309" s="6"/>
    </row>
    <row r="310">
      <c r="I310" s="6"/>
      <c r="J310" s="6"/>
      <c r="N310" s="6"/>
    </row>
    <row r="311">
      <c r="I311" s="6"/>
      <c r="J311" s="6"/>
      <c r="N311" s="6"/>
    </row>
    <row r="312">
      <c r="I312" s="6"/>
      <c r="J312" s="6"/>
      <c r="N312" s="6"/>
    </row>
    <row r="313">
      <c r="I313" s="6"/>
      <c r="J313" s="6"/>
      <c r="N313" s="6"/>
    </row>
    <row r="314">
      <c r="I314" s="6"/>
      <c r="J314" s="6"/>
      <c r="N314" s="6"/>
    </row>
    <row r="315">
      <c r="I315" s="6"/>
      <c r="J315" s="6"/>
      <c r="N315" s="6"/>
    </row>
    <row r="316">
      <c r="I316" s="6"/>
      <c r="J316" s="6"/>
      <c r="N316" s="6"/>
    </row>
    <row r="317">
      <c r="I317" s="6"/>
      <c r="J317" s="6"/>
      <c r="N317" s="6"/>
    </row>
    <row r="318">
      <c r="I318" s="6"/>
      <c r="J318" s="6"/>
      <c r="N318" s="6"/>
    </row>
    <row r="319">
      <c r="I319" s="6"/>
      <c r="J319" s="6"/>
      <c r="N319" s="6"/>
    </row>
    <row r="320">
      <c r="I320" s="6"/>
      <c r="J320" s="6"/>
      <c r="N320" s="6"/>
    </row>
    <row r="321">
      <c r="I321" s="6"/>
      <c r="J321" s="6"/>
      <c r="N321" s="6"/>
    </row>
    <row r="322">
      <c r="I322" s="6"/>
      <c r="J322" s="6"/>
      <c r="N322" s="6"/>
    </row>
    <row r="323">
      <c r="I323" s="6"/>
      <c r="J323" s="6"/>
      <c r="N323" s="6"/>
    </row>
    <row r="324">
      <c r="I324" s="6"/>
      <c r="J324" s="6"/>
      <c r="N324" s="6"/>
    </row>
    <row r="325">
      <c r="I325" s="6"/>
      <c r="J325" s="6"/>
      <c r="N325" s="6"/>
    </row>
    <row r="326">
      <c r="I326" s="6"/>
      <c r="J326" s="6"/>
      <c r="N326" s="6"/>
    </row>
    <row r="327">
      <c r="I327" s="6"/>
      <c r="J327" s="6"/>
      <c r="N327" s="6"/>
    </row>
    <row r="328">
      <c r="I328" s="6"/>
      <c r="J328" s="6"/>
      <c r="N328" s="6"/>
    </row>
    <row r="329">
      <c r="I329" s="6"/>
      <c r="J329" s="6"/>
      <c r="N329" s="6"/>
    </row>
    <row r="330">
      <c r="I330" s="6"/>
      <c r="J330" s="6"/>
      <c r="N330" s="6"/>
    </row>
    <row r="331">
      <c r="I331" s="6"/>
      <c r="J331" s="6"/>
      <c r="N331" s="6"/>
    </row>
    <row r="332">
      <c r="I332" s="6"/>
      <c r="J332" s="6"/>
      <c r="N332" s="6"/>
    </row>
    <row r="333">
      <c r="I333" s="6"/>
      <c r="J333" s="6"/>
      <c r="N333" s="6"/>
    </row>
    <row r="334">
      <c r="I334" s="6"/>
      <c r="J334" s="6"/>
      <c r="N334" s="6"/>
    </row>
    <row r="335">
      <c r="I335" s="6"/>
      <c r="J335" s="6"/>
      <c r="N335" s="6"/>
    </row>
    <row r="336">
      <c r="I336" s="6"/>
      <c r="J336" s="6"/>
      <c r="N336" s="6"/>
    </row>
    <row r="337">
      <c r="I337" s="6"/>
      <c r="J337" s="6"/>
      <c r="N337" s="6"/>
    </row>
    <row r="338">
      <c r="I338" s="6"/>
      <c r="J338" s="6"/>
      <c r="N338" s="6"/>
    </row>
    <row r="339">
      <c r="I339" s="6"/>
      <c r="J339" s="6"/>
      <c r="N339" s="6"/>
    </row>
    <row r="340">
      <c r="I340" s="6"/>
      <c r="J340" s="6"/>
      <c r="N340" s="6"/>
    </row>
    <row r="341">
      <c r="I341" s="6"/>
      <c r="J341" s="6"/>
      <c r="N341" s="6"/>
    </row>
    <row r="342">
      <c r="I342" s="6"/>
      <c r="J342" s="6"/>
      <c r="N342" s="6"/>
    </row>
    <row r="343">
      <c r="I343" s="6"/>
      <c r="J343" s="6"/>
      <c r="N343" s="6"/>
    </row>
    <row r="344">
      <c r="I344" s="6"/>
      <c r="J344" s="6"/>
      <c r="N344" s="6"/>
    </row>
    <row r="345">
      <c r="I345" s="6"/>
      <c r="J345" s="6"/>
      <c r="N345" s="6"/>
    </row>
    <row r="346">
      <c r="I346" s="6"/>
      <c r="J346" s="6"/>
      <c r="N346" s="6"/>
    </row>
    <row r="347">
      <c r="I347" s="6"/>
      <c r="J347" s="6"/>
      <c r="N347" s="6"/>
    </row>
    <row r="348">
      <c r="I348" s="6"/>
      <c r="J348" s="6"/>
      <c r="N348" s="6"/>
    </row>
    <row r="349">
      <c r="I349" s="6"/>
      <c r="J349" s="6"/>
      <c r="N349" s="6"/>
    </row>
    <row r="350">
      <c r="I350" s="6"/>
      <c r="J350" s="6"/>
      <c r="N350" s="6"/>
    </row>
    <row r="351">
      <c r="I351" s="6"/>
      <c r="J351" s="6"/>
      <c r="N351" s="6"/>
    </row>
    <row r="352">
      <c r="I352" s="6"/>
      <c r="J352" s="6"/>
      <c r="N352" s="6"/>
    </row>
    <row r="353">
      <c r="I353" s="6"/>
      <c r="J353" s="6"/>
      <c r="N353" s="6"/>
    </row>
    <row r="354">
      <c r="I354" s="6"/>
      <c r="J354" s="6"/>
      <c r="N354" s="6"/>
    </row>
    <row r="355">
      <c r="I355" s="6"/>
      <c r="J355" s="6"/>
      <c r="N355" s="6"/>
    </row>
    <row r="356">
      <c r="I356" s="6"/>
      <c r="J356" s="6"/>
      <c r="N356" s="6"/>
    </row>
    <row r="357">
      <c r="I357" s="6"/>
      <c r="J357" s="6"/>
      <c r="N357" s="6"/>
    </row>
    <row r="358">
      <c r="I358" s="6"/>
      <c r="J358" s="6"/>
      <c r="N358" s="6"/>
    </row>
    <row r="359">
      <c r="I359" s="6"/>
      <c r="J359" s="6"/>
      <c r="N359" s="6"/>
    </row>
    <row r="360">
      <c r="I360" s="6"/>
      <c r="J360" s="6"/>
      <c r="N360" s="6"/>
    </row>
    <row r="361">
      <c r="I361" s="6"/>
      <c r="J361" s="6"/>
      <c r="N361" s="6"/>
    </row>
    <row r="362">
      <c r="I362" s="6"/>
      <c r="J362" s="6"/>
      <c r="N362" s="6"/>
    </row>
    <row r="363">
      <c r="I363" s="6"/>
      <c r="J363" s="6"/>
      <c r="N363" s="6"/>
    </row>
    <row r="364">
      <c r="I364" s="6"/>
      <c r="J364" s="6"/>
      <c r="N364" s="6"/>
    </row>
    <row r="365">
      <c r="I365" s="6"/>
      <c r="J365" s="6"/>
      <c r="N365" s="6"/>
    </row>
    <row r="366">
      <c r="I366" s="6"/>
      <c r="J366" s="6"/>
      <c r="N366" s="6"/>
    </row>
    <row r="367">
      <c r="I367" s="6"/>
      <c r="J367" s="6"/>
      <c r="N367" s="6"/>
    </row>
    <row r="368">
      <c r="I368" s="6"/>
      <c r="J368" s="6"/>
      <c r="N368" s="6"/>
    </row>
    <row r="369">
      <c r="I369" s="6"/>
      <c r="J369" s="6"/>
      <c r="N369" s="6"/>
    </row>
    <row r="370">
      <c r="I370" s="6"/>
      <c r="J370" s="6"/>
      <c r="N370" s="6"/>
    </row>
    <row r="371">
      <c r="I371" s="6"/>
      <c r="J371" s="6"/>
      <c r="N371" s="6"/>
    </row>
    <row r="372">
      <c r="I372" s="6"/>
      <c r="J372" s="6"/>
      <c r="N372" s="6"/>
    </row>
    <row r="373">
      <c r="I373" s="6"/>
      <c r="J373" s="6"/>
      <c r="N373" s="6"/>
    </row>
    <row r="374">
      <c r="I374" s="6"/>
      <c r="J374" s="6"/>
      <c r="N374" s="6"/>
    </row>
    <row r="375">
      <c r="I375" s="6"/>
      <c r="J375" s="6"/>
      <c r="N375" s="6"/>
    </row>
    <row r="376">
      <c r="I376" s="6"/>
      <c r="J376" s="6"/>
      <c r="N376" s="6"/>
    </row>
    <row r="377">
      <c r="I377" s="6"/>
      <c r="J377" s="6"/>
      <c r="N377" s="6"/>
    </row>
    <row r="378">
      <c r="I378" s="6"/>
      <c r="J378" s="6"/>
      <c r="N378" s="6"/>
    </row>
    <row r="379">
      <c r="I379" s="6"/>
      <c r="J379" s="6"/>
      <c r="N379" s="6"/>
    </row>
    <row r="380">
      <c r="I380" s="6"/>
      <c r="J380" s="6"/>
      <c r="N380" s="6"/>
    </row>
    <row r="381">
      <c r="I381" s="6"/>
      <c r="J381" s="6"/>
      <c r="N381" s="6"/>
    </row>
    <row r="382">
      <c r="I382" s="6"/>
      <c r="J382" s="6"/>
      <c r="N382" s="6"/>
    </row>
    <row r="383">
      <c r="I383" s="6"/>
      <c r="J383" s="6"/>
      <c r="N383" s="6"/>
    </row>
    <row r="384">
      <c r="I384" s="6"/>
      <c r="J384" s="6"/>
      <c r="N384" s="6"/>
    </row>
    <row r="385">
      <c r="I385" s="6"/>
      <c r="J385" s="6"/>
      <c r="N385" s="6"/>
    </row>
    <row r="386">
      <c r="I386" s="6"/>
      <c r="J386" s="6"/>
      <c r="N386" s="6"/>
    </row>
    <row r="387">
      <c r="I387" s="6"/>
      <c r="J387" s="6"/>
      <c r="N387" s="6"/>
    </row>
    <row r="388">
      <c r="I388" s="6"/>
      <c r="J388" s="6"/>
      <c r="N388" s="6"/>
    </row>
    <row r="389">
      <c r="I389" s="6"/>
      <c r="J389" s="6"/>
      <c r="N389" s="6"/>
    </row>
    <row r="390">
      <c r="I390" s="6"/>
      <c r="J390" s="6"/>
      <c r="N390" s="6"/>
    </row>
    <row r="391">
      <c r="I391" s="6"/>
      <c r="J391" s="6"/>
      <c r="N391" s="6"/>
    </row>
    <row r="392">
      <c r="I392" s="6"/>
      <c r="J392" s="6"/>
      <c r="N392" s="6"/>
    </row>
    <row r="393">
      <c r="I393" s="6"/>
      <c r="J393" s="6"/>
      <c r="N393" s="6"/>
    </row>
    <row r="394">
      <c r="I394" s="6"/>
      <c r="J394" s="6"/>
      <c r="N394" s="6"/>
    </row>
    <row r="395">
      <c r="I395" s="6"/>
      <c r="J395" s="6"/>
      <c r="N395" s="6"/>
    </row>
    <row r="396">
      <c r="I396" s="6"/>
      <c r="J396" s="6"/>
      <c r="N396" s="6"/>
    </row>
    <row r="397">
      <c r="I397" s="6"/>
      <c r="J397" s="6"/>
      <c r="N397" s="6"/>
    </row>
    <row r="398">
      <c r="I398" s="6"/>
      <c r="J398" s="6"/>
      <c r="N398" s="6"/>
    </row>
    <row r="399">
      <c r="I399" s="6"/>
      <c r="J399" s="6"/>
      <c r="N399" s="6"/>
    </row>
    <row r="400">
      <c r="I400" s="6"/>
      <c r="J400" s="6"/>
      <c r="N400" s="6"/>
    </row>
    <row r="401">
      <c r="I401" s="6"/>
      <c r="J401" s="6"/>
      <c r="N401" s="6"/>
    </row>
    <row r="402">
      <c r="I402" s="6"/>
      <c r="J402" s="6"/>
      <c r="N402" s="6"/>
    </row>
    <row r="403">
      <c r="I403" s="6"/>
      <c r="J403" s="6"/>
      <c r="N403" s="6"/>
    </row>
    <row r="404">
      <c r="I404" s="6"/>
      <c r="J404" s="6"/>
      <c r="N404" s="6"/>
    </row>
    <row r="405">
      <c r="I405" s="6"/>
      <c r="J405" s="6"/>
      <c r="N405" s="6"/>
    </row>
    <row r="406">
      <c r="I406" s="6"/>
      <c r="J406" s="6"/>
      <c r="N406" s="6"/>
    </row>
    <row r="407">
      <c r="I407" s="6"/>
      <c r="J407" s="6"/>
      <c r="N407" s="6"/>
    </row>
    <row r="408">
      <c r="I408" s="6"/>
      <c r="J408" s="6"/>
      <c r="N408" s="6"/>
    </row>
    <row r="409">
      <c r="I409" s="6"/>
      <c r="J409" s="6"/>
      <c r="N409" s="6"/>
    </row>
    <row r="410">
      <c r="I410" s="6"/>
      <c r="J410" s="6"/>
      <c r="N410" s="6"/>
    </row>
    <row r="411">
      <c r="I411" s="6"/>
      <c r="J411" s="6"/>
      <c r="N411" s="6"/>
    </row>
    <row r="412">
      <c r="I412" s="6"/>
      <c r="J412" s="6"/>
      <c r="N412" s="6"/>
    </row>
    <row r="413">
      <c r="I413" s="6"/>
      <c r="J413" s="6"/>
      <c r="N413" s="6"/>
    </row>
    <row r="414">
      <c r="I414" s="6"/>
      <c r="J414" s="6"/>
      <c r="N414" s="6"/>
    </row>
    <row r="415">
      <c r="I415" s="6"/>
      <c r="J415" s="6"/>
      <c r="N415" s="6"/>
    </row>
    <row r="416">
      <c r="I416" s="6"/>
      <c r="J416" s="6"/>
      <c r="N416" s="6"/>
    </row>
    <row r="417">
      <c r="I417" s="6"/>
      <c r="J417" s="6"/>
      <c r="N417" s="6"/>
    </row>
    <row r="418">
      <c r="I418" s="6"/>
      <c r="J418" s="6"/>
      <c r="N418" s="6"/>
    </row>
    <row r="419">
      <c r="I419" s="6"/>
      <c r="J419" s="6"/>
      <c r="N419" s="6"/>
    </row>
    <row r="420">
      <c r="I420" s="6"/>
      <c r="J420" s="6"/>
      <c r="N420" s="6"/>
    </row>
    <row r="421">
      <c r="I421" s="6"/>
      <c r="J421" s="6"/>
      <c r="N421" s="6"/>
    </row>
    <row r="422">
      <c r="I422" s="6"/>
      <c r="J422" s="6"/>
      <c r="N422" s="6"/>
    </row>
    <row r="423">
      <c r="I423" s="6"/>
      <c r="J423" s="6"/>
      <c r="N423" s="6"/>
    </row>
    <row r="424">
      <c r="I424" s="6"/>
      <c r="J424" s="6"/>
      <c r="N424" s="6"/>
    </row>
    <row r="425">
      <c r="I425" s="6"/>
      <c r="J425" s="6"/>
      <c r="N425" s="6"/>
    </row>
    <row r="426">
      <c r="I426" s="6"/>
      <c r="J426" s="6"/>
      <c r="N426" s="6"/>
    </row>
    <row r="427">
      <c r="I427" s="6"/>
      <c r="J427" s="6"/>
      <c r="N427" s="6"/>
    </row>
    <row r="428">
      <c r="I428" s="6"/>
      <c r="J428" s="6"/>
      <c r="N428" s="6"/>
    </row>
    <row r="429">
      <c r="I429" s="6"/>
      <c r="J429" s="6"/>
      <c r="N429" s="6"/>
    </row>
    <row r="430">
      <c r="I430" s="6"/>
      <c r="J430" s="6"/>
      <c r="N430" s="6"/>
    </row>
    <row r="431">
      <c r="I431" s="6"/>
      <c r="J431" s="6"/>
      <c r="N431" s="6"/>
    </row>
    <row r="432">
      <c r="I432" s="6"/>
      <c r="J432" s="6"/>
      <c r="N432" s="6"/>
    </row>
    <row r="433">
      <c r="I433" s="6"/>
      <c r="J433" s="6"/>
      <c r="N433" s="6"/>
    </row>
    <row r="434">
      <c r="I434" s="6"/>
      <c r="J434" s="6"/>
      <c r="N434" s="6"/>
    </row>
    <row r="435">
      <c r="I435" s="6"/>
      <c r="J435" s="6"/>
      <c r="N435" s="6"/>
    </row>
    <row r="436">
      <c r="I436" s="6"/>
      <c r="J436" s="6"/>
      <c r="N436" s="6"/>
    </row>
    <row r="437">
      <c r="I437" s="6"/>
      <c r="J437" s="6"/>
      <c r="N437" s="6"/>
    </row>
    <row r="438">
      <c r="I438" s="6"/>
      <c r="J438" s="6"/>
      <c r="N438" s="6"/>
    </row>
    <row r="439">
      <c r="I439" s="6"/>
      <c r="J439" s="6"/>
      <c r="N439" s="6"/>
    </row>
    <row r="440">
      <c r="I440" s="6"/>
      <c r="J440" s="6"/>
      <c r="N440" s="6"/>
    </row>
    <row r="441">
      <c r="I441" s="6"/>
      <c r="J441" s="6"/>
      <c r="N441" s="6"/>
    </row>
    <row r="442">
      <c r="I442" s="6"/>
      <c r="J442" s="6"/>
      <c r="N442" s="6"/>
    </row>
    <row r="443">
      <c r="I443" s="6"/>
      <c r="J443" s="6"/>
      <c r="N443" s="6"/>
    </row>
    <row r="444">
      <c r="I444" s="6"/>
      <c r="J444" s="6"/>
      <c r="N444" s="6"/>
    </row>
    <row r="445">
      <c r="I445" s="6"/>
      <c r="J445" s="6"/>
      <c r="N445" s="6"/>
    </row>
    <row r="446">
      <c r="I446" s="6"/>
      <c r="J446" s="6"/>
      <c r="N446" s="6"/>
    </row>
    <row r="447">
      <c r="I447" s="6"/>
      <c r="J447" s="6"/>
      <c r="N447" s="6"/>
    </row>
    <row r="448">
      <c r="I448" s="6"/>
      <c r="J448" s="6"/>
      <c r="N448" s="6"/>
    </row>
    <row r="449">
      <c r="I449" s="6"/>
      <c r="J449" s="6"/>
      <c r="N449" s="6"/>
    </row>
    <row r="450">
      <c r="I450" s="6"/>
      <c r="J450" s="6"/>
      <c r="N450" s="6"/>
    </row>
    <row r="451">
      <c r="I451" s="6"/>
      <c r="J451" s="6"/>
      <c r="N451" s="6"/>
    </row>
    <row r="452">
      <c r="I452" s="6"/>
      <c r="J452" s="6"/>
      <c r="N452" s="6"/>
    </row>
    <row r="453">
      <c r="I453" s="6"/>
      <c r="J453" s="6"/>
      <c r="N453" s="6"/>
    </row>
    <row r="454">
      <c r="I454" s="6"/>
      <c r="J454" s="6"/>
      <c r="N454" s="6"/>
    </row>
    <row r="455">
      <c r="I455" s="6"/>
      <c r="J455" s="6"/>
      <c r="N455" s="6"/>
    </row>
    <row r="456">
      <c r="I456" s="6"/>
      <c r="J456" s="6"/>
      <c r="N456" s="6"/>
    </row>
    <row r="457">
      <c r="I457" s="6"/>
      <c r="J457" s="6"/>
      <c r="N457" s="6"/>
    </row>
    <row r="458">
      <c r="I458" s="6"/>
      <c r="J458" s="6"/>
      <c r="N458" s="6"/>
    </row>
    <row r="459">
      <c r="I459" s="6"/>
      <c r="J459" s="6"/>
      <c r="N459" s="6"/>
    </row>
    <row r="460">
      <c r="I460" s="6"/>
      <c r="J460" s="6"/>
      <c r="N460" s="6"/>
    </row>
    <row r="461">
      <c r="I461" s="6"/>
      <c r="J461" s="6"/>
      <c r="N461" s="6"/>
    </row>
    <row r="462">
      <c r="I462" s="6"/>
      <c r="J462" s="6"/>
      <c r="N462" s="6"/>
    </row>
    <row r="463">
      <c r="I463" s="6"/>
      <c r="J463" s="6"/>
      <c r="N463" s="6"/>
    </row>
    <row r="464">
      <c r="I464" s="6"/>
      <c r="J464" s="6"/>
      <c r="N464" s="6"/>
    </row>
    <row r="465">
      <c r="I465" s="6"/>
      <c r="J465" s="6"/>
      <c r="N465" s="6"/>
    </row>
    <row r="466">
      <c r="I466" s="6"/>
      <c r="J466" s="6"/>
      <c r="N466" s="6"/>
    </row>
    <row r="467">
      <c r="I467" s="6"/>
      <c r="J467" s="6"/>
      <c r="N467" s="6"/>
    </row>
    <row r="468">
      <c r="I468" s="6"/>
      <c r="J468" s="6"/>
      <c r="N468" s="6"/>
    </row>
    <row r="469">
      <c r="I469" s="6"/>
      <c r="J469" s="6"/>
      <c r="N469" s="6"/>
    </row>
    <row r="470">
      <c r="I470" s="6"/>
      <c r="J470" s="6"/>
      <c r="N470" s="6"/>
    </row>
    <row r="471">
      <c r="I471" s="6"/>
      <c r="J471" s="6"/>
      <c r="N471" s="6"/>
    </row>
    <row r="472">
      <c r="I472" s="6"/>
      <c r="J472" s="6"/>
      <c r="N472" s="6"/>
    </row>
    <row r="473">
      <c r="I473" s="6"/>
      <c r="J473" s="6"/>
      <c r="N473" s="6"/>
    </row>
    <row r="474">
      <c r="I474" s="6"/>
      <c r="J474" s="6"/>
      <c r="N474" s="6"/>
    </row>
    <row r="475">
      <c r="I475" s="6"/>
      <c r="J475" s="6"/>
      <c r="N475" s="6"/>
    </row>
    <row r="476">
      <c r="I476" s="6"/>
      <c r="J476" s="6"/>
      <c r="N476" s="6"/>
    </row>
    <row r="477">
      <c r="I477" s="6"/>
      <c r="J477" s="6"/>
      <c r="N477" s="6"/>
    </row>
    <row r="478">
      <c r="I478" s="6"/>
      <c r="J478" s="6"/>
      <c r="N478" s="6"/>
    </row>
    <row r="479">
      <c r="I479" s="6"/>
      <c r="J479" s="6"/>
      <c r="N479" s="6"/>
    </row>
    <row r="480">
      <c r="I480" s="6"/>
      <c r="J480" s="6"/>
      <c r="N480" s="6"/>
    </row>
    <row r="481">
      <c r="I481" s="6"/>
      <c r="J481" s="6"/>
      <c r="N481" s="6"/>
    </row>
    <row r="482">
      <c r="I482" s="6"/>
      <c r="J482" s="6"/>
      <c r="N482" s="6"/>
    </row>
    <row r="483">
      <c r="I483" s="6"/>
      <c r="J483" s="6"/>
      <c r="N483" s="6"/>
    </row>
    <row r="484">
      <c r="I484" s="6"/>
      <c r="J484" s="6"/>
      <c r="N484" s="6"/>
    </row>
    <row r="485">
      <c r="I485" s="6"/>
      <c r="J485" s="6"/>
      <c r="N485" s="6"/>
    </row>
    <row r="486">
      <c r="I486" s="6"/>
      <c r="J486" s="6"/>
      <c r="N486" s="6"/>
    </row>
    <row r="487">
      <c r="I487" s="6"/>
      <c r="J487" s="6"/>
      <c r="N487" s="6"/>
    </row>
    <row r="488">
      <c r="I488" s="6"/>
      <c r="J488" s="6"/>
      <c r="N488" s="6"/>
    </row>
    <row r="489">
      <c r="I489" s="6"/>
      <c r="J489" s="6"/>
      <c r="N489" s="6"/>
    </row>
    <row r="490">
      <c r="I490" s="6"/>
      <c r="J490" s="6"/>
      <c r="N490" s="6"/>
    </row>
    <row r="491">
      <c r="I491" s="6"/>
      <c r="J491" s="6"/>
      <c r="N491" s="6"/>
    </row>
    <row r="492">
      <c r="I492" s="6"/>
      <c r="J492" s="6"/>
      <c r="N492" s="6"/>
    </row>
    <row r="493">
      <c r="I493" s="6"/>
      <c r="J493" s="6"/>
      <c r="N493" s="6"/>
    </row>
    <row r="494">
      <c r="I494" s="6"/>
      <c r="J494" s="6"/>
      <c r="N494" s="6"/>
    </row>
    <row r="495">
      <c r="I495" s="6"/>
      <c r="J495" s="6"/>
      <c r="N495" s="6"/>
    </row>
    <row r="496">
      <c r="I496" s="6"/>
      <c r="J496" s="6"/>
      <c r="N496" s="6"/>
    </row>
    <row r="497">
      <c r="I497" s="6"/>
      <c r="J497" s="6"/>
      <c r="N497" s="6"/>
    </row>
    <row r="498">
      <c r="I498" s="6"/>
      <c r="J498" s="6"/>
      <c r="N498" s="6"/>
    </row>
    <row r="499">
      <c r="I499" s="6"/>
      <c r="J499" s="6"/>
      <c r="N499" s="6"/>
    </row>
    <row r="500">
      <c r="I500" s="6"/>
      <c r="J500" s="6"/>
      <c r="N500" s="6"/>
    </row>
    <row r="501">
      <c r="I501" s="6"/>
      <c r="J501" s="6"/>
      <c r="N501" s="6"/>
    </row>
    <row r="502">
      <c r="I502" s="6"/>
      <c r="J502" s="6"/>
      <c r="N502" s="6"/>
    </row>
    <row r="503">
      <c r="I503" s="6"/>
      <c r="J503" s="6"/>
      <c r="N503" s="6"/>
    </row>
    <row r="504">
      <c r="I504" s="6"/>
      <c r="J504" s="6"/>
      <c r="N504" s="6"/>
    </row>
    <row r="505">
      <c r="I505" s="6"/>
      <c r="J505" s="6"/>
      <c r="N505" s="6"/>
    </row>
    <row r="506">
      <c r="I506" s="6"/>
      <c r="J506" s="6"/>
      <c r="N506" s="6"/>
    </row>
    <row r="507">
      <c r="I507" s="6"/>
      <c r="J507" s="6"/>
      <c r="N507" s="6"/>
    </row>
    <row r="508">
      <c r="I508" s="6"/>
      <c r="J508" s="6"/>
      <c r="N508" s="6"/>
    </row>
    <row r="509">
      <c r="I509" s="6"/>
      <c r="J509" s="6"/>
      <c r="N509" s="6"/>
    </row>
    <row r="510">
      <c r="I510" s="6"/>
      <c r="J510" s="6"/>
      <c r="N510" s="6"/>
    </row>
    <row r="511">
      <c r="I511" s="6"/>
      <c r="J511" s="6"/>
      <c r="N511" s="6"/>
    </row>
    <row r="512">
      <c r="I512" s="6"/>
      <c r="J512" s="6"/>
      <c r="N512" s="6"/>
    </row>
    <row r="513">
      <c r="I513" s="6"/>
      <c r="J513" s="6"/>
      <c r="N513" s="6"/>
    </row>
    <row r="514">
      <c r="I514" s="6"/>
      <c r="J514" s="6"/>
      <c r="N514" s="6"/>
    </row>
    <row r="515">
      <c r="I515" s="6"/>
      <c r="J515" s="6"/>
      <c r="N515" s="6"/>
    </row>
    <row r="516">
      <c r="I516" s="6"/>
      <c r="J516" s="6"/>
      <c r="N516" s="6"/>
    </row>
    <row r="517">
      <c r="I517" s="6"/>
      <c r="J517" s="6"/>
      <c r="N517" s="6"/>
    </row>
    <row r="518">
      <c r="I518" s="6"/>
      <c r="J518" s="6"/>
      <c r="N518" s="6"/>
    </row>
    <row r="519">
      <c r="I519" s="6"/>
      <c r="J519" s="6"/>
      <c r="N519" s="6"/>
    </row>
    <row r="520">
      <c r="I520" s="6"/>
      <c r="J520" s="6"/>
      <c r="N520" s="6"/>
    </row>
    <row r="521">
      <c r="I521" s="6"/>
      <c r="J521" s="6"/>
      <c r="N521" s="6"/>
    </row>
    <row r="522">
      <c r="I522" s="6"/>
      <c r="J522" s="6"/>
      <c r="N522" s="6"/>
    </row>
    <row r="523">
      <c r="I523" s="6"/>
      <c r="J523" s="6"/>
      <c r="N523" s="6"/>
    </row>
    <row r="524">
      <c r="I524" s="6"/>
      <c r="J524" s="6"/>
      <c r="N524" s="6"/>
    </row>
    <row r="525">
      <c r="I525" s="6"/>
      <c r="J525" s="6"/>
      <c r="N525" s="6"/>
    </row>
    <row r="526">
      <c r="I526" s="6"/>
      <c r="J526" s="6"/>
      <c r="N526" s="6"/>
    </row>
    <row r="527">
      <c r="I527" s="6"/>
      <c r="J527" s="6"/>
      <c r="N527" s="6"/>
    </row>
    <row r="528">
      <c r="I528" s="6"/>
      <c r="J528" s="6"/>
      <c r="N528" s="6"/>
    </row>
    <row r="529">
      <c r="I529" s="6"/>
      <c r="J529" s="6"/>
      <c r="N529" s="6"/>
    </row>
    <row r="530">
      <c r="I530" s="6"/>
      <c r="J530" s="6"/>
      <c r="N530" s="6"/>
    </row>
    <row r="531">
      <c r="I531" s="6"/>
      <c r="J531" s="6"/>
      <c r="N531" s="6"/>
    </row>
    <row r="532">
      <c r="I532" s="6"/>
      <c r="J532" s="6"/>
      <c r="N532" s="6"/>
    </row>
    <row r="533">
      <c r="I533" s="6"/>
      <c r="J533" s="6"/>
      <c r="N533" s="6"/>
    </row>
    <row r="534">
      <c r="I534" s="6"/>
      <c r="J534" s="6"/>
      <c r="N534" s="6"/>
    </row>
    <row r="535">
      <c r="I535" s="6"/>
      <c r="J535" s="6"/>
      <c r="N535" s="6"/>
    </row>
    <row r="536">
      <c r="I536" s="6"/>
      <c r="J536" s="6"/>
      <c r="N536" s="6"/>
    </row>
    <row r="537">
      <c r="I537" s="6"/>
      <c r="J537" s="6"/>
      <c r="N537" s="6"/>
    </row>
    <row r="538">
      <c r="I538" s="6"/>
      <c r="J538" s="6"/>
      <c r="N538" s="6"/>
    </row>
    <row r="539">
      <c r="I539" s="6"/>
      <c r="J539" s="6"/>
      <c r="N539" s="6"/>
    </row>
    <row r="540">
      <c r="I540" s="6"/>
      <c r="J540" s="6"/>
      <c r="N540" s="6"/>
    </row>
    <row r="541">
      <c r="I541" s="6"/>
      <c r="J541" s="6"/>
      <c r="N541" s="6"/>
    </row>
    <row r="542">
      <c r="I542" s="6"/>
      <c r="J542" s="6"/>
      <c r="N542" s="6"/>
    </row>
    <row r="543">
      <c r="I543" s="6"/>
      <c r="J543" s="6"/>
      <c r="N543" s="6"/>
    </row>
    <row r="544">
      <c r="I544" s="6"/>
      <c r="J544" s="6"/>
      <c r="N544" s="6"/>
    </row>
    <row r="545">
      <c r="I545" s="6"/>
      <c r="J545" s="6"/>
      <c r="N545" s="6"/>
    </row>
    <row r="546">
      <c r="I546" s="6"/>
      <c r="J546" s="6"/>
      <c r="N546" s="6"/>
    </row>
    <row r="547">
      <c r="I547" s="6"/>
      <c r="J547" s="6"/>
      <c r="N547" s="6"/>
    </row>
    <row r="548">
      <c r="I548" s="6"/>
      <c r="J548" s="6"/>
      <c r="N548" s="6"/>
    </row>
    <row r="549">
      <c r="I549" s="6"/>
      <c r="J549" s="6"/>
      <c r="N549" s="6"/>
    </row>
    <row r="550">
      <c r="I550" s="6"/>
      <c r="J550" s="6"/>
      <c r="N550" s="6"/>
    </row>
    <row r="551">
      <c r="I551" s="6"/>
      <c r="J551" s="6"/>
      <c r="N551" s="6"/>
    </row>
    <row r="552">
      <c r="I552" s="6"/>
      <c r="J552" s="6"/>
      <c r="N552" s="6"/>
    </row>
    <row r="553">
      <c r="I553" s="6"/>
      <c r="J553" s="6"/>
      <c r="N553" s="6"/>
    </row>
    <row r="554">
      <c r="I554" s="6"/>
      <c r="J554" s="6"/>
      <c r="N554" s="6"/>
    </row>
    <row r="555">
      <c r="I555" s="6"/>
      <c r="J555" s="6"/>
      <c r="N555" s="6"/>
    </row>
    <row r="556">
      <c r="I556" s="6"/>
      <c r="J556" s="6"/>
      <c r="N556" s="6"/>
    </row>
    <row r="557">
      <c r="I557" s="6"/>
      <c r="J557" s="6"/>
      <c r="N557" s="6"/>
    </row>
    <row r="558">
      <c r="I558" s="6"/>
      <c r="J558" s="6"/>
      <c r="N558" s="6"/>
    </row>
    <row r="559">
      <c r="I559" s="6"/>
      <c r="J559" s="6"/>
      <c r="N559" s="6"/>
    </row>
    <row r="560">
      <c r="I560" s="6"/>
      <c r="J560" s="6"/>
      <c r="N560" s="6"/>
    </row>
    <row r="561">
      <c r="I561" s="6"/>
      <c r="J561" s="6"/>
      <c r="N561" s="6"/>
    </row>
    <row r="562">
      <c r="I562" s="6"/>
      <c r="J562" s="6"/>
      <c r="N562" s="6"/>
    </row>
    <row r="563">
      <c r="I563" s="6"/>
      <c r="J563" s="6"/>
      <c r="N563" s="6"/>
    </row>
    <row r="564">
      <c r="I564" s="6"/>
      <c r="J564" s="6"/>
      <c r="N564" s="6"/>
    </row>
    <row r="565">
      <c r="I565" s="6"/>
      <c r="J565" s="6"/>
      <c r="N565" s="6"/>
    </row>
    <row r="566">
      <c r="I566" s="6"/>
      <c r="J566" s="6"/>
      <c r="N566" s="6"/>
    </row>
    <row r="567">
      <c r="I567" s="6"/>
      <c r="J567" s="6"/>
      <c r="N567" s="6"/>
    </row>
    <row r="568">
      <c r="I568" s="6"/>
      <c r="J568" s="6"/>
      <c r="N568" s="6"/>
    </row>
    <row r="569">
      <c r="I569" s="6"/>
      <c r="J569" s="6"/>
      <c r="N569" s="6"/>
    </row>
    <row r="570">
      <c r="I570" s="6"/>
      <c r="J570" s="6"/>
      <c r="N570" s="6"/>
    </row>
    <row r="571">
      <c r="I571" s="6"/>
      <c r="J571" s="6"/>
      <c r="N571" s="6"/>
    </row>
    <row r="572">
      <c r="I572" s="6"/>
      <c r="J572" s="6"/>
      <c r="N572" s="6"/>
    </row>
    <row r="573">
      <c r="I573" s="6"/>
      <c r="J573" s="6"/>
      <c r="N573" s="6"/>
    </row>
    <row r="574">
      <c r="I574" s="6"/>
      <c r="J574" s="6"/>
      <c r="N574" s="6"/>
    </row>
    <row r="575">
      <c r="I575" s="6"/>
      <c r="J575" s="6"/>
      <c r="N575" s="6"/>
    </row>
    <row r="576">
      <c r="I576" s="6"/>
      <c r="J576" s="6"/>
      <c r="N576" s="6"/>
    </row>
    <row r="577">
      <c r="I577" s="6"/>
      <c r="J577" s="6"/>
      <c r="N577" s="6"/>
    </row>
    <row r="578">
      <c r="I578" s="6"/>
      <c r="J578" s="6"/>
      <c r="N578" s="6"/>
    </row>
    <row r="579">
      <c r="I579" s="6"/>
      <c r="J579" s="6"/>
      <c r="N579" s="6"/>
    </row>
    <row r="580">
      <c r="I580" s="6"/>
      <c r="J580" s="6"/>
      <c r="N580" s="6"/>
    </row>
    <row r="581">
      <c r="I581" s="6"/>
      <c r="J581" s="6"/>
      <c r="N581" s="6"/>
    </row>
    <row r="582">
      <c r="I582" s="6"/>
      <c r="J582" s="6"/>
      <c r="N582" s="6"/>
    </row>
    <row r="583">
      <c r="I583" s="6"/>
      <c r="J583" s="6"/>
      <c r="N583" s="6"/>
    </row>
    <row r="584">
      <c r="I584" s="6"/>
      <c r="J584" s="6"/>
      <c r="N584" s="6"/>
    </row>
    <row r="585">
      <c r="I585" s="6"/>
      <c r="J585" s="6"/>
      <c r="N585" s="6"/>
    </row>
    <row r="586">
      <c r="I586" s="6"/>
      <c r="J586" s="6"/>
      <c r="N586" s="6"/>
    </row>
    <row r="587">
      <c r="I587" s="6"/>
      <c r="J587" s="6"/>
      <c r="N587" s="6"/>
    </row>
    <row r="588">
      <c r="I588" s="6"/>
      <c r="J588" s="6"/>
      <c r="N588" s="6"/>
    </row>
    <row r="589">
      <c r="I589" s="6"/>
      <c r="J589" s="6"/>
      <c r="N589" s="6"/>
    </row>
    <row r="590">
      <c r="I590" s="6"/>
      <c r="J590" s="6"/>
      <c r="N590" s="6"/>
    </row>
    <row r="591">
      <c r="I591" s="6"/>
      <c r="J591" s="6"/>
      <c r="N591" s="6"/>
    </row>
    <row r="592">
      <c r="I592" s="6"/>
      <c r="J592" s="6"/>
      <c r="N592" s="6"/>
    </row>
    <row r="593">
      <c r="I593" s="6"/>
      <c r="J593" s="6"/>
      <c r="N593" s="6"/>
    </row>
    <row r="594">
      <c r="I594" s="6"/>
      <c r="J594" s="6"/>
      <c r="N594" s="6"/>
    </row>
    <row r="595">
      <c r="I595" s="6"/>
      <c r="J595" s="6"/>
      <c r="N595" s="6"/>
    </row>
    <row r="596">
      <c r="I596" s="6"/>
      <c r="J596" s="6"/>
      <c r="N596" s="6"/>
    </row>
    <row r="597">
      <c r="I597" s="6"/>
      <c r="J597" s="6"/>
      <c r="N597" s="6"/>
    </row>
    <row r="598">
      <c r="I598" s="6"/>
      <c r="J598" s="6"/>
      <c r="N598" s="6"/>
    </row>
    <row r="599">
      <c r="I599" s="6"/>
      <c r="J599" s="6"/>
      <c r="N599" s="6"/>
    </row>
    <row r="600">
      <c r="I600" s="6"/>
      <c r="J600" s="6"/>
      <c r="N600" s="6"/>
    </row>
    <row r="601">
      <c r="I601" s="6"/>
      <c r="J601" s="6"/>
      <c r="N601" s="6"/>
    </row>
    <row r="602">
      <c r="I602" s="6"/>
      <c r="J602" s="6"/>
      <c r="N602" s="6"/>
    </row>
    <row r="603">
      <c r="I603" s="6"/>
      <c r="J603" s="6"/>
      <c r="N603" s="6"/>
    </row>
    <row r="604">
      <c r="I604" s="6"/>
      <c r="J604" s="6"/>
      <c r="N604" s="6"/>
    </row>
    <row r="605">
      <c r="I605" s="6"/>
      <c r="J605" s="6"/>
      <c r="N605" s="6"/>
    </row>
    <row r="606">
      <c r="I606" s="6"/>
      <c r="J606" s="6"/>
      <c r="N606" s="6"/>
    </row>
    <row r="607">
      <c r="I607" s="6"/>
      <c r="J607" s="6"/>
      <c r="N607" s="6"/>
    </row>
    <row r="608">
      <c r="I608" s="6"/>
      <c r="J608" s="6"/>
      <c r="N608" s="6"/>
    </row>
    <row r="609">
      <c r="I609" s="6"/>
      <c r="J609" s="6"/>
      <c r="N609" s="6"/>
    </row>
    <row r="610">
      <c r="I610" s="6"/>
      <c r="J610" s="6"/>
      <c r="N610" s="6"/>
    </row>
    <row r="611">
      <c r="I611" s="6"/>
      <c r="J611" s="6"/>
      <c r="N611" s="6"/>
    </row>
    <row r="612">
      <c r="I612" s="6"/>
      <c r="J612" s="6"/>
      <c r="N612" s="6"/>
    </row>
    <row r="613">
      <c r="I613" s="6"/>
      <c r="J613" s="6"/>
      <c r="N613" s="6"/>
    </row>
    <row r="614">
      <c r="I614" s="6"/>
      <c r="J614" s="6"/>
      <c r="N614" s="6"/>
    </row>
    <row r="615">
      <c r="I615" s="6"/>
      <c r="J615" s="6"/>
      <c r="N615" s="6"/>
    </row>
    <row r="616">
      <c r="I616" s="6"/>
      <c r="J616" s="6"/>
      <c r="N616" s="6"/>
    </row>
    <row r="617">
      <c r="I617" s="6"/>
      <c r="J617" s="6"/>
      <c r="N617" s="6"/>
    </row>
    <row r="618">
      <c r="I618" s="6"/>
      <c r="J618" s="6"/>
      <c r="N618" s="6"/>
    </row>
    <row r="619">
      <c r="I619" s="6"/>
      <c r="J619" s="6"/>
      <c r="N619" s="6"/>
    </row>
    <row r="620">
      <c r="I620" s="6"/>
      <c r="J620" s="6"/>
      <c r="N620" s="6"/>
    </row>
    <row r="621">
      <c r="I621" s="6"/>
      <c r="J621" s="6"/>
      <c r="N621" s="6"/>
    </row>
    <row r="622">
      <c r="I622" s="6"/>
      <c r="J622" s="6"/>
      <c r="N622" s="6"/>
    </row>
    <row r="623">
      <c r="I623" s="6"/>
      <c r="J623" s="6"/>
      <c r="N623" s="6"/>
    </row>
    <row r="624">
      <c r="I624" s="6"/>
      <c r="J624" s="6"/>
      <c r="N624" s="6"/>
    </row>
    <row r="625">
      <c r="I625" s="6"/>
      <c r="J625" s="6"/>
      <c r="N625" s="6"/>
    </row>
    <row r="626">
      <c r="I626" s="6"/>
      <c r="J626" s="6"/>
      <c r="N626" s="6"/>
    </row>
    <row r="627">
      <c r="I627" s="6"/>
      <c r="J627" s="6"/>
      <c r="N627" s="6"/>
    </row>
    <row r="628">
      <c r="I628" s="6"/>
      <c r="J628" s="6"/>
      <c r="N628" s="6"/>
    </row>
    <row r="629">
      <c r="I629" s="6"/>
      <c r="J629" s="6"/>
      <c r="N629" s="6"/>
    </row>
    <row r="630">
      <c r="I630" s="6"/>
      <c r="J630" s="6"/>
      <c r="N630" s="6"/>
    </row>
    <row r="631">
      <c r="I631" s="6"/>
      <c r="J631" s="6"/>
      <c r="N631" s="6"/>
    </row>
    <row r="632">
      <c r="I632" s="6"/>
      <c r="J632" s="6"/>
      <c r="N632" s="6"/>
    </row>
    <row r="633">
      <c r="I633" s="6"/>
      <c r="J633" s="6"/>
      <c r="N633" s="6"/>
    </row>
    <row r="634">
      <c r="I634" s="6"/>
      <c r="J634" s="6"/>
      <c r="N634" s="6"/>
    </row>
    <row r="635">
      <c r="I635" s="6"/>
      <c r="J635" s="6"/>
      <c r="N635" s="6"/>
    </row>
    <row r="636">
      <c r="I636" s="6"/>
      <c r="J636" s="6"/>
      <c r="N636" s="6"/>
    </row>
    <row r="637">
      <c r="I637" s="6"/>
      <c r="J637" s="6"/>
      <c r="N637" s="6"/>
    </row>
    <row r="638">
      <c r="I638" s="6"/>
      <c r="J638" s="6"/>
      <c r="N638" s="6"/>
    </row>
    <row r="639">
      <c r="I639" s="6"/>
      <c r="J639" s="6"/>
      <c r="N639" s="6"/>
    </row>
    <row r="640">
      <c r="I640" s="6"/>
      <c r="J640" s="6"/>
      <c r="N640" s="6"/>
    </row>
    <row r="641">
      <c r="I641" s="6"/>
      <c r="J641" s="6"/>
      <c r="N641" s="6"/>
    </row>
    <row r="642">
      <c r="I642" s="6"/>
      <c r="J642" s="6"/>
      <c r="N642" s="6"/>
    </row>
    <row r="643">
      <c r="I643" s="6"/>
      <c r="J643" s="6"/>
      <c r="N643" s="6"/>
    </row>
    <row r="644">
      <c r="I644" s="6"/>
      <c r="J644" s="6"/>
      <c r="N644" s="6"/>
    </row>
    <row r="645">
      <c r="I645" s="6"/>
      <c r="J645" s="6"/>
      <c r="N645" s="6"/>
    </row>
    <row r="646">
      <c r="I646" s="6"/>
      <c r="J646" s="6"/>
      <c r="N646" s="6"/>
    </row>
    <row r="647">
      <c r="I647" s="6"/>
      <c r="J647" s="6"/>
      <c r="N647" s="6"/>
    </row>
    <row r="648">
      <c r="I648" s="6"/>
      <c r="J648" s="6"/>
      <c r="N648" s="6"/>
    </row>
    <row r="649">
      <c r="I649" s="6"/>
      <c r="J649" s="6"/>
      <c r="N649" s="6"/>
    </row>
    <row r="650">
      <c r="I650" s="6"/>
      <c r="J650" s="6"/>
      <c r="N650" s="6"/>
    </row>
    <row r="651">
      <c r="I651" s="6"/>
      <c r="J651" s="6"/>
      <c r="N651" s="6"/>
    </row>
    <row r="652">
      <c r="I652" s="6"/>
      <c r="J652" s="6"/>
      <c r="N652" s="6"/>
    </row>
    <row r="653">
      <c r="I653" s="6"/>
      <c r="J653" s="6"/>
      <c r="N653" s="6"/>
    </row>
    <row r="654">
      <c r="I654" s="6"/>
      <c r="J654" s="6"/>
      <c r="N654" s="6"/>
    </row>
    <row r="655">
      <c r="I655" s="6"/>
      <c r="J655" s="6"/>
      <c r="N655" s="6"/>
    </row>
    <row r="656">
      <c r="I656" s="6"/>
      <c r="J656" s="6"/>
      <c r="N656" s="6"/>
    </row>
    <row r="657">
      <c r="I657" s="6"/>
      <c r="J657" s="6"/>
      <c r="N657" s="6"/>
    </row>
    <row r="658">
      <c r="I658" s="6"/>
      <c r="J658" s="6"/>
      <c r="N658" s="6"/>
    </row>
    <row r="659">
      <c r="I659" s="6"/>
      <c r="J659" s="6"/>
      <c r="N659" s="6"/>
    </row>
    <row r="660">
      <c r="I660" s="6"/>
      <c r="J660" s="6"/>
      <c r="N660" s="6"/>
    </row>
    <row r="661">
      <c r="I661" s="6"/>
      <c r="J661" s="6"/>
      <c r="N661" s="6"/>
    </row>
    <row r="662">
      <c r="I662" s="6"/>
      <c r="J662" s="6"/>
      <c r="N662" s="6"/>
    </row>
    <row r="663">
      <c r="I663" s="6"/>
      <c r="J663" s="6"/>
      <c r="N663" s="6"/>
    </row>
    <row r="664">
      <c r="I664" s="6"/>
      <c r="J664" s="6"/>
      <c r="N664" s="6"/>
    </row>
    <row r="665">
      <c r="I665" s="6"/>
      <c r="J665" s="6"/>
      <c r="N665" s="6"/>
    </row>
    <row r="666">
      <c r="I666" s="6"/>
      <c r="J666" s="6"/>
      <c r="N666" s="6"/>
    </row>
    <row r="667">
      <c r="I667" s="6"/>
      <c r="J667" s="6"/>
      <c r="N667" s="6"/>
    </row>
    <row r="668">
      <c r="I668" s="6"/>
      <c r="J668" s="6"/>
      <c r="N668" s="6"/>
    </row>
    <row r="669">
      <c r="I669" s="6"/>
      <c r="J669" s="6"/>
      <c r="N669" s="6"/>
    </row>
    <row r="670">
      <c r="I670" s="6"/>
      <c r="J670" s="6"/>
      <c r="N670" s="6"/>
    </row>
    <row r="671">
      <c r="I671" s="6"/>
      <c r="J671" s="6"/>
      <c r="N671" s="6"/>
    </row>
    <row r="672">
      <c r="I672" s="6"/>
      <c r="J672" s="6"/>
      <c r="N672" s="6"/>
    </row>
    <row r="673">
      <c r="I673" s="6"/>
      <c r="J673" s="6"/>
      <c r="N673" s="6"/>
    </row>
    <row r="674">
      <c r="I674" s="6"/>
      <c r="J674" s="6"/>
      <c r="N674" s="6"/>
    </row>
    <row r="675">
      <c r="I675" s="6"/>
      <c r="J675" s="6"/>
      <c r="N675" s="6"/>
    </row>
    <row r="676">
      <c r="I676" s="6"/>
      <c r="J676" s="6"/>
      <c r="N676" s="6"/>
    </row>
    <row r="677">
      <c r="I677" s="6"/>
      <c r="J677" s="6"/>
      <c r="N677" s="6"/>
    </row>
    <row r="678">
      <c r="I678" s="6"/>
      <c r="J678" s="6"/>
      <c r="N678" s="6"/>
    </row>
    <row r="679">
      <c r="I679" s="6"/>
      <c r="J679" s="6"/>
      <c r="N679" s="6"/>
    </row>
    <row r="680">
      <c r="I680" s="6"/>
      <c r="J680" s="6"/>
      <c r="N680" s="6"/>
    </row>
    <row r="681">
      <c r="I681" s="6"/>
      <c r="J681" s="6"/>
      <c r="N681" s="6"/>
    </row>
    <row r="682">
      <c r="I682" s="6"/>
      <c r="J682" s="6"/>
      <c r="N682" s="6"/>
    </row>
    <row r="683">
      <c r="I683" s="6"/>
      <c r="J683" s="6"/>
      <c r="N683" s="6"/>
    </row>
    <row r="684">
      <c r="I684" s="6"/>
      <c r="J684" s="6"/>
      <c r="N684" s="6"/>
    </row>
    <row r="685">
      <c r="I685" s="6"/>
      <c r="J685" s="6"/>
      <c r="N685" s="6"/>
    </row>
    <row r="686">
      <c r="I686" s="6"/>
      <c r="J686" s="6"/>
      <c r="N686" s="6"/>
    </row>
    <row r="687">
      <c r="I687" s="6"/>
      <c r="J687" s="6"/>
      <c r="N687" s="6"/>
    </row>
    <row r="688">
      <c r="I688" s="6"/>
      <c r="J688" s="6"/>
      <c r="N688" s="6"/>
    </row>
    <row r="689">
      <c r="I689" s="6"/>
      <c r="J689" s="6"/>
      <c r="N689" s="6"/>
    </row>
    <row r="690">
      <c r="I690" s="6"/>
      <c r="J690" s="6"/>
      <c r="N690" s="6"/>
    </row>
    <row r="691">
      <c r="I691" s="6"/>
      <c r="J691" s="6"/>
      <c r="N691" s="6"/>
    </row>
    <row r="692">
      <c r="I692" s="6"/>
      <c r="J692" s="6"/>
      <c r="N692" s="6"/>
    </row>
    <row r="693">
      <c r="I693" s="6"/>
      <c r="J693" s="6"/>
      <c r="N693" s="6"/>
    </row>
    <row r="694">
      <c r="I694" s="6"/>
      <c r="J694" s="6"/>
      <c r="N694" s="6"/>
    </row>
    <row r="695">
      <c r="I695" s="6"/>
      <c r="J695" s="6"/>
      <c r="N695" s="6"/>
    </row>
    <row r="696">
      <c r="I696" s="6"/>
      <c r="J696" s="6"/>
      <c r="N696" s="6"/>
    </row>
    <row r="697">
      <c r="I697" s="6"/>
      <c r="J697" s="6"/>
      <c r="N697" s="6"/>
    </row>
    <row r="698">
      <c r="I698" s="6"/>
      <c r="J698" s="6"/>
      <c r="N698" s="6"/>
    </row>
    <row r="699">
      <c r="I699" s="6"/>
      <c r="J699" s="6"/>
      <c r="N699" s="6"/>
    </row>
    <row r="700">
      <c r="I700" s="6"/>
      <c r="J700" s="6"/>
      <c r="N700" s="6"/>
    </row>
    <row r="701">
      <c r="I701" s="6"/>
      <c r="J701" s="6"/>
      <c r="N701" s="6"/>
    </row>
    <row r="702">
      <c r="I702" s="6"/>
      <c r="J702" s="6"/>
      <c r="N702" s="6"/>
    </row>
    <row r="703">
      <c r="I703" s="6"/>
      <c r="J703" s="6"/>
      <c r="N703" s="6"/>
    </row>
    <row r="704">
      <c r="I704" s="6"/>
      <c r="J704" s="6"/>
      <c r="N704" s="6"/>
    </row>
    <row r="705">
      <c r="I705" s="6"/>
      <c r="J705" s="6"/>
      <c r="N705" s="6"/>
    </row>
    <row r="706">
      <c r="I706" s="6"/>
      <c r="J706" s="6"/>
      <c r="N706" s="6"/>
    </row>
    <row r="707">
      <c r="I707" s="6"/>
      <c r="J707" s="6"/>
      <c r="N707" s="6"/>
    </row>
    <row r="708">
      <c r="I708" s="6"/>
      <c r="J708" s="6"/>
      <c r="N708" s="6"/>
    </row>
    <row r="709">
      <c r="I709" s="6"/>
      <c r="J709" s="6"/>
      <c r="N709" s="6"/>
    </row>
    <row r="710">
      <c r="I710" s="6"/>
      <c r="J710" s="6"/>
      <c r="N710" s="6"/>
    </row>
    <row r="711">
      <c r="I711" s="6"/>
      <c r="J711" s="6"/>
      <c r="N711" s="6"/>
    </row>
    <row r="712">
      <c r="I712" s="6"/>
      <c r="J712" s="6"/>
      <c r="N712" s="6"/>
    </row>
    <row r="713">
      <c r="I713" s="6"/>
      <c r="J713" s="6"/>
      <c r="N713" s="6"/>
    </row>
    <row r="714">
      <c r="I714" s="6"/>
      <c r="J714" s="6"/>
      <c r="N714" s="6"/>
    </row>
    <row r="715">
      <c r="I715" s="6"/>
      <c r="J715" s="6"/>
      <c r="N715" s="6"/>
    </row>
    <row r="716">
      <c r="I716" s="6"/>
      <c r="J716" s="6"/>
      <c r="N716" s="6"/>
    </row>
    <row r="717">
      <c r="I717" s="6"/>
      <c r="J717" s="6"/>
      <c r="N717" s="6"/>
    </row>
    <row r="718">
      <c r="I718" s="6"/>
      <c r="J718" s="6"/>
      <c r="N718" s="6"/>
    </row>
    <row r="719">
      <c r="I719" s="6"/>
      <c r="J719" s="6"/>
      <c r="N719" s="6"/>
    </row>
    <row r="720">
      <c r="I720" s="6"/>
      <c r="J720" s="6"/>
      <c r="N720" s="6"/>
    </row>
    <row r="721">
      <c r="I721" s="6"/>
      <c r="J721" s="6"/>
      <c r="N721" s="6"/>
    </row>
    <row r="722">
      <c r="I722" s="6"/>
      <c r="J722" s="6"/>
      <c r="N722" s="6"/>
    </row>
    <row r="723">
      <c r="I723" s="6"/>
      <c r="J723" s="6"/>
      <c r="N723" s="6"/>
    </row>
    <row r="724">
      <c r="I724" s="6"/>
      <c r="J724" s="6"/>
      <c r="N724" s="6"/>
    </row>
    <row r="725">
      <c r="I725" s="6"/>
      <c r="J725" s="6"/>
      <c r="N725" s="6"/>
    </row>
    <row r="726">
      <c r="I726" s="6"/>
      <c r="J726" s="6"/>
      <c r="N726" s="6"/>
    </row>
    <row r="727">
      <c r="I727" s="6"/>
      <c r="J727" s="6"/>
      <c r="N727" s="6"/>
    </row>
    <row r="728">
      <c r="I728" s="6"/>
      <c r="J728" s="6"/>
      <c r="N728" s="6"/>
    </row>
    <row r="729">
      <c r="I729" s="6"/>
      <c r="J729" s="6"/>
      <c r="N729" s="6"/>
    </row>
    <row r="730">
      <c r="I730" s="6"/>
      <c r="J730" s="6"/>
      <c r="N730" s="6"/>
    </row>
    <row r="731">
      <c r="I731" s="6"/>
      <c r="J731" s="6"/>
      <c r="N731" s="6"/>
    </row>
    <row r="732">
      <c r="I732" s="6"/>
      <c r="J732" s="6"/>
      <c r="N732" s="6"/>
    </row>
    <row r="733">
      <c r="I733" s="6"/>
      <c r="J733" s="6"/>
      <c r="N733" s="6"/>
    </row>
    <row r="734">
      <c r="I734" s="6"/>
      <c r="J734" s="6"/>
      <c r="N734" s="6"/>
    </row>
    <row r="735">
      <c r="I735" s="6"/>
      <c r="J735" s="6"/>
      <c r="N735" s="6"/>
    </row>
    <row r="736">
      <c r="I736" s="6"/>
      <c r="J736" s="6"/>
      <c r="N736" s="6"/>
    </row>
    <row r="737">
      <c r="I737" s="6"/>
      <c r="J737" s="6"/>
      <c r="N737" s="6"/>
    </row>
    <row r="738">
      <c r="I738" s="6"/>
      <c r="J738" s="6"/>
      <c r="N738" s="6"/>
    </row>
    <row r="739">
      <c r="I739" s="6"/>
      <c r="J739" s="6"/>
      <c r="N739" s="6"/>
    </row>
    <row r="740">
      <c r="I740" s="6"/>
      <c r="J740" s="6"/>
      <c r="N740" s="6"/>
    </row>
    <row r="741">
      <c r="I741" s="6"/>
      <c r="J741" s="6"/>
      <c r="N741" s="6"/>
    </row>
    <row r="742">
      <c r="I742" s="6"/>
      <c r="J742" s="6"/>
      <c r="N742" s="6"/>
    </row>
    <row r="743">
      <c r="I743" s="6"/>
      <c r="J743" s="6"/>
      <c r="N743" s="6"/>
    </row>
    <row r="744">
      <c r="I744" s="6"/>
      <c r="J744" s="6"/>
      <c r="N744" s="6"/>
    </row>
    <row r="745">
      <c r="I745" s="6"/>
      <c r="J745" s="6"/>
      <c r="N745" s="6"/>
    </row>
    <row r="746">
      <c r="I746" s="6"/>
      <c r="J746" s="6"/>
      <c r="N746" s="6"/>
    </row>
    <row r="747">
      <c r="I747" s="6"/>
      <c r="J747" s="6"/>
      <c r="N747" s="6"/>
    </row>
    <row r="748">
      <c r="I748" s="6"/>
      <c r="J748" s="6"/>
      <c r="N748" s="6"/>
    </row>
    <row r="749">
      <c r="I749" s="6"/>
      <c r="J749" s="6"/>
      <c r="N749" s="6"/>
    </row>
    <row r="750">
      <c r="I750" s="6"/>
      <c r="J750" s="6"/>
      <c r="N750" s="6"/>
    </row>
    <row r="751">
      <c r="I751" s="6"/>
      <c r="J751" s="6"/>
      <c r="N751" s="6"/>
    </row>
    <row r="752">
      <c r="I752" s="6"/>
      <c r="J752" s="6"/>
      <c r="N752" s="6"/>
    </row>
    <row r="753">
      <c r="I753" s="6"/>
      <c r="J753" s="6"/>
      <c r="N753" s="6"/>
    </row>
    <row r="754">
      <c r="I754" s="6"/>
      <c r="J754" s="6"/>
      <c r="N754" s="6"/>
    </row>
    <row r="755">
      <c r="I755" s="6"/>
      <c r="J755" s="6"/>
      <c r="N755" s="6"/>
    </row>
    <row r="756">
      <c r="I756" s="6"/>
      <c r="J756" s="6"/>
      <c r="N756" s="6"/>
    </row>
    <row r="757">
      <c r="I757" s="6"/>
      <c r="J757" s="6"/>
      <c r="N757" s="6"/>
    </row>
    <row r="758">
      <c r="I758" s="6"/>
      <c r="J758" s="6"/>
      <c r="N758" s="6"/>
    </row>
    <row r="759">
      <c r="I759" s="6"/>
      <c r="J759" s="6"/>
      <c r="N759" s="6"/>
    </row>
    <row r="760">
      <c r="I760" s="6"/>
      <c r="J760" s="6"/>
      <c r="N760" s="6"/>
    </row>
    <row r="761">
      <c r="I761" s="6"/>
      <c r="J761" s="6"/>
      <c r="N761" s="6"/>
    </row>
    <row r="762">
      <c r="I762" s="6"/>
      <c r="J762" s="6"/>
      <c r="N762" s="6"/>
    </row>
    <row r="763">
      <c r="I763" s="6"/>
      <c r="J763" s="6"/>
      <c r="N763" s="6"/>
    </row>
    <row r="764">
      <c r="I764" s="6"/>
      <c r="J764" s="6"/>
      <c r="N764" s="6"/>
    </row>
    <row r="765">
      <c r="I765" s="6"/>
      <c r="J765" s="6"/>
      <c r="N765" s="6"/>
    </row>
    <row r="766">
      <c r="I766" s="6"/>
      <c r="J766" s="6"/>
      <c r="N766" s="6"/>
    </row>
    <row r="767">
      <c r="I767" s="6"/>
      <c r="J767" s="6"/>
      <c r="N767" s="6"/>
    </row>
    <row r="768">
      <c r="I768" s="6"/>
      <c r="J768" s="6"/>
      <c r="N768" s="6"/>
    </row>
    <row r="769">
      <c r="I769" s="6"/>
      <c r="J769" s="6"/>
      <c r="N769" s="6"/>
    </row>
    <row r="770">
      <c r="I770" s="6"/>
      <c r="J770" s="6"/>
      <c r="N770" s="6"/>
    </row>
    <row r="771">
      <c r="I771" s="6"/>
      <c r="J771" s="6"/>
      <c r="N771" s="6"/>
    </row>
    <row r="772">
      <c r="I772" s="6"/>
      <c r="J772" s="6"/>
      <c r="N772" s="6"/>
    </row>
    <row r="773">
      <c r="I773" s="6"/>
      <c r="J773" s="6"/>
      <c r="N773" s="6"/>
    </row>
    <row r="774">
      <c r="I774" s="6"/>
      <c r="J774" s="6"/>
      <c r="N774" s="6"/>
    </row>
    <row r="775">
      <c r="I775" s="6"/>
      <c r="J775" s="6"/>
      <c r="N775" s="6"/>
    </row>
    <row r="776">
      <c r="I776" s="6"/>
      <c r="J776" s="6"/>
      <c r="N776" s="6"/>
    </row>
    <row r="777">
      <c r="I777" s="6"/>
      <c r="J777" s="6"/>
      <c r="N777" s="6"/>
    </row>
    <row r="778">
      <c r="I778" s="6"/>
      <c r="J778" s="6"/>
      <c r="N778" s="6"/>
    </row>
    <row r="779">
      <c r="I779" s="6"/>
      <c r="J779" s="6"/>
      <c r="N779" s="6"/>
    </row>
    <row r="780">
      <c r="I780" s="6"/>
      <c r="J780" s="6"/>
      <c r="N780" s="6"/>
    </row>
    <row r="781">
      <c r="I781" s="6"/>
      <c r="J781" s="6"/>
      <c r="N781" s="6"/>
    </row>
    <row r="782">
      <c r="I782" s="6"/>
      <c r="J782" s="6"/>
      <c r="N782" s="6"/>
    </row>
    <row r="783">
      <c r="I783" s="6"/>
      <c r="J783" s="6"/>
      <c r="N783" s="6"/>
    </row>
    <row r="784">
      <c r="I784" s="6"/>
      <c r="J784" s="6"/>
      <c r="N784" s="6"/>
    </row>
    <row r="785">
      <c r="I785" s="6"/>
      <c r="J785" s="6"/>
      <c r="N785" s="6"/>
    </row>
    <row r="786">
      <c r="I786" s="6"/>
      <c r="J786" s="6"/>
      <c r="N786" s="6"/>
    </row>
    <row r="787">
      <c r="I787" s="6"/>
      <c r="J787" s="6"/>
      <c r="N787" s="6"/>
    </row>
    <row r="788">
      <c r="I788" s="6"/>
      <c r="J788" s="6"/>
      <c r="N788" s="6"/>
    </row>
    <row r="789">
      <c r="I789" s="6"/>
      <c r="J789" s="6"/>
      <c r="N789" s="6"/>
    </row>
    <row r="790">
      <c r="I790" s="6"/>
      <c r="J790" s="6"/>
      <c r="N790" s="6"/>
    </row>
    <row r="791">
      <c r="I791" s="6"/>
      <c r="J791" s="6"/>
      <c r="N791" s="6"/>
    </row>
    <row r="792">
      <c r="I792" s="6"/>
      <c r="J792" s="6"/>
      <c r="N792" s="6"/>
    </row>
    <row r="793">
      <c r="I793" s="6"/>
      <c r="J793" s="6"/>
      <c r="N793" s="6"/>
    </row>
    <row r="794">
      <c r="I794" s="6"/>
      <c r="J794" s="6"/>
      <c r="N794" s="6"/>
    </row>
    <row r="795">
      <c r="I795" s="6"/>
      <c r="J795" s="6"/>
      <c r="N795" s="6"/>
    </row>
    <row r="796">
      <c r="I796" s="6"/>
      <c r="J796" s="6"/>
      <c r="N796" s="6"/>
    </row>
    <row r="797">
      <c r="I797" s="6"/>
      <c r="J797" s="6"/>
      <c r="N797" s="6"/>
    </row>
    <row r="798">
      <c r="I798" s="6"/>
      <c r="J798" s="6"/>
      <c r="N798" s="6"/>
    </row>
    <row r="799">
      <c r="I799" s="6"/>
      <c r="J799" s="6"/>
      <c r="N799" s="6"/>
    </row>
    <row r="800">
      <c r="I800" s="6"/>
      <c r="J800" s="6"/>
      <c r="N800" s="6"/>
    </row>
    <row r="801">
      <c r="I801" s="6"/>
      <c r="J801" s="6"/>
      <c r="N801" s="6"/>
    </row>
    <row r="802">
      <c r="I802" s="6"/>
      <c r="J802" s="6"/>
      <c r="N802" s="6"/>
    </row>
    <row r="803">
      <c r="I803" s="6"/>
      <c r="J803" s="6"/>
      <c r="N803" s="6"/>
    </row>
    <row r="804">
      <c r="I804" s="6"/>
      <c r="J804" s="6"/>
      <c r="N804" s="6"/>
    </row>
    <row r="805">
      <c r="I805" s="6"/>
      <c r="J805" s="6"/>
      <c r="N805" s="6"/>
    </row>
    <row r="806">
      <c r="I806" s="6"/>
      <c r="J806" s="6"/>
      <c r="N806" s="6"/>
    </row>
    <row r="807">
      <c r="I807" s="6"/>
      <c r="J807" s="6"/>
      <c r="N807" s="6"/>
    </row>
    <row r="808">
      <c r="I808" s="6"/>
      <c r="J808" s="6"/>
      <c r="N808" s="6"/>
    </row>
    <row r="809">
      <c r="I809" s="6"/>
      <c r="J809" s="6"/>
      <c r="N809" s="6"/>
    </row>
    <row r="810">
      <c r="I810" s="6"/>
      <c r="J810" s="6"/>
      <c r="N810" s="6"/>
    </row>
    <row r="811">
      <c r="I811" s="6"/>
      <c r="J811" s="6"/>
      <c r="N811" s="6"/>
    </row>
    <row r="812">
      <c r="I812" s="6"/>
      <c r="J812" s="6"/>
      <c r="N812" s="6"/>
    </row>
    <row r="813">
      <c r="I813" s="6"/>
      <c r="J813" s="6"/>
      <c r="N813" s="6"/>
    </row>
    <row r="814">
      <c r="I814" s="6"/>
      <c r="J814" s="6"/>
      <c r="N814" s="6"/>
    </row>
    <row r="815">
      <c r="I815" s="6"/>
      <c r="J815" s="6"/>
      <c r="N815" s="6"/>
    </row>
    <row r="816">
      <c r="I816" s="6"/>
      <c r="J816" s="6"/>
      <c r="N816" s="6"/>
    </row>
    <row r="817">
      <c r="I817" s="6"/>
      <c r="J817" s="6"/>
      <c r="N817" s="6"/>
    </row>
    <row r="818">
      <c r="I818" s="6"/>
      <c r="J818" s="6"/>
      <c r="N818" s="6"/>
    </row>
    <row r="819">
      <c r="I819" s="6"/>
      <c r="J819" s="6"/>
      <c r="N819" s="6"/>
    </row>
    <row r="820">
      <c r="I820" s="6"/>
      <c r="J820" s="6"/>
      <c r="N820" s="6"/>
    </row>
    <row r="821">
      <c r="I821" s="6"/>
      <c r="J821" s="6"/>
      <c r="N821" s="6"/>
    </row>
    <row r="822">
      <c r="I822" s="6"/>
      <c r="J822" s="6"/>
      <c r="N822" s="6"/>
    </row>
    <row r="823">
      <c r="I823" s="6"/>
      <c r="J823" s="6"/>
      <c r="N823" s="6"/>
    </row>
    <row r="824">
      <c r="I824" s="6"/>
      <c r="J824" s="6"/>
      <c r="N824" s="6"/>
    </row>
    <row r="825">
      <c r="I825" s="6"/>
      <c r="J825" s="6"/>
      <c r="N825" s="6"/>
    </row>
    <row r="826">
      <c r="I826" s="6"/>
      <c r="J826" s="6"/>
      <c r="N826" s="6"/>
    </row>
    <row r="827">
      <c r="I827" s="6"/>
      <c r="J827" s="6"/>
      <c r="N827" s="6"/>
    </row>
    <row r="828">
      <c r="I828" s="6"/>
      <c r="J828" s="6"/>
      <c r="N828" s="6"/>
    </row>
    <row r="829">
      <c r="I829" s="6"/>
      <c r="J829" s="6"/>
      <c r="N829" s="6"/>
    </row>
    <row r="830">
      <c r="I830" s="6"/>
      <c r="J830" s="6"/>
      <c r="N830" s="6"/>
    </row>
    <row r="831">
      <c r="I831" s="6"/>
      <c r="J831" s="6"/>
      <c r="N831" s="6"/>
    </row>
    <row r="832">
      <c r="I832" s="6"/>
      <c r="J832" s="6"/>
      <c r="N832" s="6"/>
    </row>
    <row r="833">
      <c r="I833" s="6"/>
      <c r="J833" s="6"/>
      <c r="N833" s="6"/>
    </row>
    <row r="834">
      <c r="I834" s="6"/>
      <c r="J834" s="6"/>
      <c r="N834" s="6"/>
    </row>
    <row r="835">
      <c r="I835" s="6"/>
      <c r="J835" s="6"/>
      <c r="N835" s="6"/>
    </row>
    <row r="836">
      <c r="I836" s="6"/>
      <c r="J836" s="6"/>
      <c r="N836" s="6"/>
    </row>
    <row r="837">
      <c r="I837" s="6"/>
      <c r="J837" s="6"/>
      <c r="N837" s="6"/>
    </row>
    <row r="838">
      <c r="I838" s="6"/>
      <c r="J838" s="6"/>
      <c r="N838" s="6"/>
    </row>
    <row r="839">
      <c r="I839" s="6"/>
      <c r="J839" s="6"/>
      <c r="N839" s="6"/>
    </row>
    <row r="840">
      <c r="I840" s="6"/>
      <c r="J840" s="6"/>
      <c r="N840" s="6"/>
    </row>
    <row r="841">
      <c r="I841" s="6"/>
      <c r="J841" s="6"/>
      <c r="N841" s="6"/>
    </row>
    <row r="842">
      <c r="I842" s="6"/>
      <c r="J842" s="6"/>
      <c r="N842" s="6"/>
    </row>
    <row r="843">
      <c r="I843" s="6"/>
      <c r="J843" s="6"/>
      <c r="N843" s="6"/>
    </row>
    <row r="844">
      <c r="I844" s="6"/>
      <c r="J844" s="6"/>
      <c r="N844" s="6"/>
    </row>
    <row r="845">
      <c r="I845" s="6"/>
      <c r="J845" s="6"/>
      <c r="N845" s="6"/>
    </row>
    <row r="846">
      <c r="I846" s="6"/>
      <c r="J846" s="6"/>
      <c r="N846" s="6"/>
    </row>
    <row r="847">
      <c r="I847" s="6"/>
      <c r="J847" s="6"/>
      <c r="N847" s="6"/>
    </row>
    <row r="848">
      <c r="I848" s="6"/>
      <c r="J848" s="6"/>
      <c r="N848" s="6"/>
    </row>
    <row r="849">
      <c r="I849" s="6"/>
      <c r="J849" s="6"/>
      <c r="N849" s="6"/>
    </row>
    <row r="850">
      <c r="I850" s="6"/>
      <c r="J850" s="6"/>
      <c r="N850" s="6"/>
    </row>
    <row r="851">
      <c r="I851" s="6"/>
      <c r="J851" s="6"/>
      <c r="N851" s="6"/>
    </row>
    <row r="852">
      <c r="I852" s="6"/>
      <c r="J852" s="6"/>
      <c r="N852" s="6"/>
    </row>
    <row r="853">
      <c r="I853" s="6"/>
      <c r="J853" s="6"/>
      <c r="N853" s="6"/>
    </row>
    <row r="854">
      <c r="I854" s="6"/>
      <c r="J854" s="6"/>
      <c r="N854" s="6"/>
    </row>
    <row r="855">
      <c r="I855" s="6"/>
      <c r="J855" s="6"/>
      <c r="N855" s="6"/>
    </row>
    <row r="856">
      <c r="I856" s="6"/>
      <c r="J856" s="6"/>
      <c r="N856" s="6"/>
    </row>
    <row r="857">
      <c r="I857" s="6"/>
      <c r="J857" s="6"/>
      <c r="N857" s="6"/>
    </row>
    <row r="858">
      <c r="I858" s="6"/>
      <c r="J858" s="6"/>
      <c r="N858" s="6"/>
    </row>
    <row r="859">
      <c r="I859" s="6"/>
      <c r="J859" s="6"/>
      <c r="N859" s="6"/>
    </row>
    <row r="860">
      <c r="I860" s="6"/>
      <c r="J860" s="6"/>
      <c r="N860" s="6"/>
    </row>
    <row r="861">
      <c r="I861" s="6"/>
      <c r="J861" s="6"/>
      <c r="N861" s="6"/>
    </row>
    <row r="862">
      <c r="I862" s="6"/>
      <c r="J862" s="6"/>
      <c r="N862" s="6"/>
    </row>
    <row r="863">
      <c r="I863" s="6"/>
      <c r="J863" s="6"/>
      <c r="N863" s="6"/>
    </row>
    <row r="864">
      <c r="I864" s="6"/>
      <c r="J864" s="6"/>
      <c r="N864" s="6"/>
    </row>
    <row r="865">
      <c r="I865" s="6"/>
      <c r="J865" s="6"/>
      <c r="N865" s="6"/>
    </row>
    <row r="866">
      <c r="I866" s="6"/>
      <c r="J866" s="6"/>
      <c r="N866" s="6"/>
    </row>
    <row r="867">
      <c r="I867" s="6"/>
      <c r="J867" s="6"/>
      <c r="N867" s="6"/>
    </row>
    <row r="868">
      <c r="I868" s="6"/>
      <c r="J868" s="6"/>
      <c r="N868" s="6"/>
    </row>
    <row r="869">
      <c r="I869" s="6"/>
      <c r="J869" s="6"/>
      <c r="N869" s="6"/>
    </row>
    <row r="870">
      <c r="I870" s="6"/>
      <c r="J870" s="6"/>
      <c r="N870" s="6"/>
    </row>
    <row r="871">
      <c r="I871" s="6"/>
      <c r="J871" s="6"/>
      <c r="N871" s="6"/>
    </row>
    <row r="872">
      <c r="I872" s="6"/>
      <c r="J872" s="6"/>
      <c r="N872" s="6"/>
    </row>
    <row r="873">
      <c r="I873" s="6"/>
      <c r="J873" s="6"/>
      <c r="N873" s="6"/>
    </row>
    <row r="874">
      <c r="I874" s="6"/>
      <c r="J874" s="6"/>
      <c r="N874" s="6"/>
    </row>
    <row r="875">
      <c r="I875" s="6"/>
      <c r="J875" s="6"/>
      <c r="N875" s="6"/>
    </row>
    <row r="876">
      <c r="I876" s="6"/>
      <c r="J876" s="6"/>
      <c r="N876" s="6"/>
    </row>
    <row r="877">
      <c r="I877" s="6"/>
      <c r="J877" s="6"/>
      <c r="N877" s="6"/>
    </row>
    <row r="878">
      <c r="I878" s="6"/>
      <c r="J878" s="6"/>
      <c r="N878" s="6"/>
    </row>
    <row r="879">
      <c r="I879" s="6"/>
      <c r="J879" s="6"/>
      <c r="N879" s="6"/>
    </row>
    <row r="880">
      <c r="I880" s="6"/>
      <c r="J880" s="6"/>
      <c r="N880" s="6"/>
    </row>
    <row r="881">
      <c r="I881" s="6"/>
      <c r="J881" s="6"/>
      <c r="N881" s="6"/>
    </row>
    <row r="882">
      <c r="I882" s="6"/>
      <c r="J882" s="6"/>
      <c r="N882" s="6"/>
    </row>
    <row r="883">
      <c r="I883" s="6"/>
      <c r="J883" s="6"/>
      <c r="N883" s="6"/>
    </row>
    <row r="884">
      <c r="I884" s="6"/>
      <c r="J884" s="6"/>
      <c r="N884" s="6"/>
    </row>
    <row r="885">
      <c r="I885" s="6"/>
      <c r="J885" s="6"/>
      <c r="N885" s="6"/>
    </row>
    <row r="886">
      <c r="I886" s="6"/>
      <c r="J886" s="6"/>
      <c r="N886" s="6"/>
    </row>
    <row r="887">
      <c r="I887" s="6"/>
      <c r="J887" s="6"/>
      <c r="N887" s="6"/>
    </row>
    <row r="888">
      <c r="I888" s="6"/>
      <c r="J888" s="6"/>
      <c r="N888" s="6"/>
    </row>
    <row r="889">
      <c r="I889" s="6"/>
      <c r="J889" s="6"/>
      <c r="N889" s="6"/>
    </row>
    <row r="890">
      <c r="I890" s="6"/>
      <c r="J890" s="6"/>
      <c r="N890" s="6"/>
    </row>
    <row r="891">
      <c r="I891" s="6"/>
      <c r="J891" s="6"/>
      <c r="N891" s="6"/>
    </row>
    <row r="892">
      <c r="I892" s="6"/>
      <c r="J892" s="6"/>
      <c r="N892" s="6"/>
    </row>
    <row r="893">
      <c r="I893" s="6"/>
      <c r="J893" s="6"/>
      <c r="N893" s="6"/>
    </row>
    <row r="894">
      <c r="I894" s="6"/>
      <c r="J894" s="6"/>
      <c r="N894" s="6"/>
    </row>
    <row r="895">
      <c r="I895" s="6"/>
      <c r="J895" s="6"/>
      <c r="N895" s="6"/>
    </row>
    <row r="896">
      <c r="I896" s="6"/>
      <c r="J896" s="6"/>
      <c r="N896" s="6"/>
    </row>
    <row r="897">
      <c r="I897" s="6"/>
      <c r="J897" s="6"/>
      <c r="N897" s="6"/>
    </row>
    <row r="898">
      <c r="I898" s="6"/>
      <c r="J898" s="6"/>
      <c r="N898" s="6"/>
    </row>
    <row r="899">
      <c r="I899" s="6"/>
      <c r="J899" s="6"/>
      <c r="N899" s="6"/>
    </row>
    <row r="900">
      <c r="I900" s="6"/>
      <c r="J900" s="6"/>
      <c r="N900" s="6"/>
    </row>
    <row r="901">
      <c r="I901" s="6"/>
      <c r="J901" s="6"/>
      <c r="N901" s="6"/>
    </row>
    <row r="902">
      <c r="I902" s="6"/>
      <c r="J902" s="6"/>
      <c r="N902" s="6"/>
    </row>
    <row r="903">
      <c r="I903" s="6"/>
      <c r="J903" s="6"/>
      <c r="N903" s="6"/>
    </row>
    <row r="904">
      <c r="I904" s="6"/>
      <c r="J904" s="6"/>
      <c r="N904" s="6"/>
    </row>
    <row r="905">
      <c r="I905" s="6"/>
      <c r="J905" s="6"/>
      <c r="N905" s="6"/>
    </row>
    <row r="906">
      <c r="I906" s="6"/>
      <c r="J906" s="6"/>
      <c r="N906" s="6"/>
    </row>
    <row r="907">
      <c r="I907" s="6"/>
      <c r="J907" s="6"/>
      <c r="N907" s="6"/>
    </row>
    <row r="908">
      <c r="I908" s="6"/>
      <c r="J908" s="6"/>
      <c r="N908" s="6"/>
    </row>
    <row r="909">
      <c r="I909" s="6"/>
      <c r="J909" s="6"/>
      <c r="N909" s="6"/>
    </row>
    <row r="910">
      <c r="I910" s="6"/>
      <c r="J910" s="6"/>
      <c r="N910" s="6"/>
    </row>
    <row r="911">
      <c r="I911" s="6"/>
      <c r="J911" s="6"/>
      <c r="N911" s="6"/>
    </row>
    <row r="912">
      <c r="I912" s="6"/>
      <c r="J912" s="6"/>
      <c r="N912" s="6"/>
    </row>
    <row r="913">
      <c r="I913" s="6"/>
      <c r="J913" s="6"/>
      <c r="N913" s="6"/>
    </row>
    <row r="914">
      <c r="I914" s="6"/>
      <c r="J914" s="6"/>
      <c r="N914" s="6"/>
    </row>
    <row r="915">
      <c r="I915" s="6"/>
      <c r="J915" s="6"/>
      <c r="N915" s="6"/>
    </row>
    <row r="916">
      <c r="I916" s="6"/>
      <c r="J916" s="6"/>
      <c r="N916" s="6"/>
    </row>
    <row r="917">
      <c r="I917" s="6"/>
      <c r="J917" s="6"/>
      <c r="N917" s="6"/>
    </row>
    <row r="918">
      <c r="I918" s="6"/>
      <c r="J918" s="6"/>
      <c r="N918" s="6"/>
    </row>
    <row r="919">
      <c r="I919" s="6"/>
      <c r="J919" s="6"/>
      <c r="N919" s="6"/>
    </row>
    <row r="920">
      <c r="I920" s="6"/>
      <c r="J920" s="6"/>
      <c r="N920" s="6"/>
    </row>
    <row r="921">
      <c r="I921" s="6"/>
      <c r="J921" s="6"/>
      <c r="N921" s="6"/>
    </row>
    <row r="922">
      <c r="I922" s="6"/>
      <c r="J922" s="6"/>
      <c r="N922" s="6"/>
    </row>
    <row r="923">
      <c r="I923" s="6"/>
      <c r="J923" s="6"/>
      <c r="N923" s="6"/>
    </row>
    <row r="924">
      <c r="I924" s="6"/>
      <c r="J924" s="6"/>
      <c r="N924" s="6"/>
    </row>
    <row r="925">
      <c r="I925" s="6"/>
      <c r="J925" s="6"/>
      <c r="N925" s="6"/>
    </row>
    <row r="926">
      <c r="I926" s="6"/>
      <c r="J926" s="6"/>
      <c r="N926" s="6"/>
    </row>
    <row r="927">
      <c r="I927" s="6"/>
      <c r="J927" s="6"/>
      <c r="N927" s="6"/>
    </row>
    <row r="928">
      <c r="I928" s="6"/>
      <c r="J928" s="6"/>
      <c r="N928" s="6"/>
    </row>
    <row r="929">
      <c r="I929" s="6"/>
      <c r="J929" s="6"/>
      <c r="N929" s="6"/>
    </row>
    <row r="930">
      <c r="I930" s="6"/>
      <c r="J930" s="6"/>
      <c r="N930" s="6"/>
    </row>
    <row r="931">
      <c r="I931" s="6"/>
      <c r="J931" s="6"/>
      <c r="N931" s="6"/>
    </row>
    <row r="932">
      <c r="I932" s="6"/>
      <c r="J932" s="6"/>
      <c r="N932" s="6"/>
    </row>
    <row r="933">
      <c r="I933" s="6"/>
      <c r="J933" s="6"/>
      <c r="N933" s="6"/>
    </row>
    <row r="934">
      <c r="I934" s="6"/>
      <c r="J934" s="6"/>
      <c r="N934" s="6"/>
    </row>
    <row r="935">
      <c r="I935" s="6"/>
      <c r="J935" s="6"/>
      <c r="N935" s="6"/>
    </row>
    <row r="936">
      <c r="I936" s="6"/>
      <c r="J936" s="6"/>
      <c r="N936" s="6"/>
    </row>
    <row r="937">
      <c r="I937" s="6"/>
      <c r="J937" s="6"/>
      <c r="N937" s="6"/>
    </row>
    <row r="938">
      <c r="I938" s="6"/>
      <c r="J938" s="6"/>
      <c r="N938" s="6"/>
    </row>
    <row r="939">
      <c r="I939" s="6"/>
      <c r="J939" s="6"/>
      <c r="N939" s="6"/>
    </row>
    <row r="940">
      <c r="I940" s="6"/>
      <c r="J940" s="6"/>
      <c r="N940" s="6"/>
    </row>
    <row r="941">
      <c r="I941" s="6"/>
      <c r="J941" s="6"/>
      <c r="N941" s="6"/>
    </row>
    <row r="942">
      <c r="I942" s="6"/>
      <c r="J942" s="6"/>
      <c r="N942" s="6"/>
    </row>
    <row r="943">
      <c r="I943" s="6"/>
      <c r="J943" s="6"/>
      <c r="N943" s="6"/>
    </row>
    <row r="944">
      <c r="I944" s="6"/>
      <c r="J944" s="6"/>
      <c r="N944" s="6"/>
    </row>
    <row r="945">
      <c r="I945" s="6"/>
      <c r="J945" s="6"/>
      <c r="N945" s="6"/>
    </row>
    <row r="946">
      <c r="I946" s="6"/>
      <c r="J946" s="6"/>
      <c r="N946" s="6"/>
    </row>
    <row r="947">
      <c r="I947" s="6"/>
      <c r="J947" s="6"/>
      <c r="N947" s="6"/>
    </row>
    <row r="948">
      <c r="I948" s="6"/>
      <c r="J948" s="6"/>
      <c r="N948" s="6"/>
    </row>
    <row r="949">
      <c r="I949" s="6"/>
      <c r="J949" s="6"/>
      <c r="N949" s="6"/>
    </row>
    <row r="950">
      <c r="I950" s="6"/>
      <c r="J950" s="6"/>
      <c r="N950" s="6"/>
    </row>
    <row r="951">
      <c r="I951" s="6"/>
      <c r="J951" s="6"/>
      <c r="N951" s="6"/>
    </row>
    <row r="952">
      <c r="I952" s="6"/>
      <c r="J952" s="6"/>
      <c r="N952" s="6"/>
    </row>
    <row r="953">
      <c r="I953" s="6"/>
      <c r="J953" s="6"/>
      <c r="N953" s="6"/>
    </row>
    <row r="954">
      <c r="I954" s="6"/>
      <c r="J954" s="6"/>
      <c r="N954" s="6"/>
    </row>
    <row r="955">
      <c r="I955" s="6"/>
      <c r="J955" s="6"/>
      <c r="N955" s="6"/>
    </row>
    <row r="956">
      <c r="I956" s="6"/>
      <c r="J956" s="6"/>
      <c r="N956" s="6"/>
    </row>
    <row r="957">
      <c r="I957" s="6"/>
      <c r="J957" s="6"/>
      <c r="N957" s="6"/>
    </row>
    <row r="958">
      <c r="I958" s="6"/>
      <c r="J958" s="6"/>
      <c r="N958" s="6"/>
    </row>
    <row r="959">
      <c r="I959" s="6"/>
      <c r="J959" s="6"/>
      <c r="N959" s="6"/>
    </row>
    <row r="960">
      <c r="I960" s="6"/>
      <c r="J960" s="6"/>
      <c r="N960" s="6"/>
    </row>
    <row r="961">
      <c r="I961" s="6"/>
      <c r="J961" s="6"/>
      <c r="N961" s="6"/>
    </row>
    <row r="962">
      <c r="I962" s="6"/>
      <c r="J962" s="6"/>
      <c r="N962" s="6"/>
    </row>
    <row r="963">
      <c r="I963" s="6"/>
      <c r="J963" s="6"/>
      <c r="N963" s="6"/>
    </row>
    <row r="964">
      <c r="I964" s="6"/>
      <c r="J964" s="6"/>
      <c r="N964" s="6"/>
    </row>
    <row r="965">
      <c r="I965" s="6"/>
      <c r="J965" s="6"/>
      <c r="N965" s="6"/>
    </row>
    <row r="966">
      <c r="I966" s="6"/>
      <c r="J966" s="6"/>
      <c r="N966" s="6"/>
    </row>
    <row r="967">
      <c r="I967" s="6"/>
      <c r="J967" s="6"/>
      <c r="N967" s="6"/>
    </row>
    <row r="968">
      <c r="I968" s="6"/>
      <c r="J968" s="6"/>
      <c r="N968" s="6"/>
    </row>
    <row r="969">
      <c r="I969" s="6"/>
      <c r="J969" s="6"/>
      <c r="N969" s="6"/>
    </row>
    <row r="970">
      <c r="I970" s="6"/>
      <c r="J970" s="6"/>
      <c r="N970" s="6"/>
    </row>
    <row r="971">
      <c r="I971" s="6"/>
      <c r="J971" s="6"/>
      <c r="N971" s="6"/>
    </row>
    <row r="972">
      <c r="I972" s="6"/>
      <c r="J972" s="6"/>
      <c r="N972" s="6"/>
    </row>
    <row r="973">
      <c r="I973" s="6"/>
      <c r="J973" s="6"/>
      <c r="N973" s="6"/>
    </row>
    <row r="974">
      <c r="I974" s="6"/>
      <c r="J974" s="6"/>
      <c r="N974" s="6"/>
    </row>
    <row r="975">
      <c r="I975" s="6"/>
      <c r="J975" s="6"/>
      <c r="N975" s="6"/>
    </row>
    <row r="976">
      <c r="I976" s="6"/>
      <c r="J976" s="6"/>
      <c r="N976" s="6"/>
    </row>
    <row r="977">
      <c r="I977" s="6"/>
      <c r="J977" s="6"/>
      <c r="N977" s="6"/>
    </row>
    <row r="978">
      <c r="I978" s="6"/>
      <c r="J978" s="6"/>
      <c r="N978" s="6"/>
    </row>
    <row r="979">
      <c r="I979" s="6"/>
      <c r="J979" s="6"/>
      <c r="N979" s="6"/>
    </row>
    <row r="980">
      <c r="I980" s="6"/>
      <c r="J980" s="6"/>
      <c r="N980" s="6"/>
    </row>
    <row r="981">
      <c r="I981" s="6"/>
      <c r="J981" s="6"/>
      <c r="N981" s="6"/>
    </row>
    <row r="982">
      <c r="I982" s="6"/>
      <c r="J982" s="6"/>
      <c r="N982" s="6"/>
    </row>
    <row r="983">
      <c r="I983" s="6"/>
      <c r="J983" s="6"/>
      <c r="N983" s="6"/>
    </row>
    <row r="984">
      <c r="I984" s="6"/>
      <c r="J984" s="6"/>
      <c r="N984" s="6"/>
    </row>
    <row r="985">
      <c r="I985" s="6"/>
      <c r="J985" s="6"/>
      <c r="N985" s="6"/>
    </row>
    <row r="986">
      <c r="I986" s="6"/>
      <c r="J986" s="6"/>
      <c r="N986" s="6"/>
    </row>
    <row r="987">
      <c r="I987" s="6"/>
      <c r="J987" s="6"/>
      <c r="N987" s="6"/>
    </row>
    <row r="988">
      <c r="I988" s="6"/>
      <c r="J988" s="6"/>
      <c r="N988" s="6"/>
    </row>
    <row r="989">
      <c r="I989" s="6"/>
      <c r="J989" s="6"/>
      <c r="N989" s="6"/>
    </row>
    <row r="990">
      <c r="I990" s="6"/>
      <c r="J990" s="6"/>
      <c r="N990" s="6"/>
    </row>
    <row r="991">
      <c r="I991" s="6"/>
      <c r="J991" s="6"/>
      <c r="N991" s="6"/>
    </row>
    <row r="992">
      <c r="I992" s="6"/>
      <c r="J992" s="6"/>
      <c r="N992" s="6"/>
    </row>
    <row r="993">
      <c r="I993" s="6"/>
      <c r="J993" s="6"/>
      <c r="N993" s="6"/>
    </row>
    <row r="994">
      <c r="I994" s="6"/>
      <c r="J994" s="6"/>
      <c r="N994" s="6"/>
    </row>
    <row r="995">
      <c r="I995" s="6"/>
      <c r="J995" s="6"/>
      <c r="N995" s="6"/>
    </row>
  </sheetData>
  <hyperlinks>
    <hyperlink r:id="rId1" ref="C1"/>
    <hyperlink r:id="rId2" ref="D1"/>
    <hyperlink r:id="rId3" ref="E1"/>
    <hyperlink r:id="rId4" ref="F1"/>
    <hyperlink r:id="rId5" ref="G1"/>
    <hyperlink r:id="rId6" ref="N1"/>
    <hyperlink r:id="rId7" ref="B2"/>
    <hyperlink r:id="rId8" ref="L2"/>
    <hyperlink r:id="rId9" ref="B3"/>
    <hyperlink r:id="rId10" ref="L3"/>
    <hyperlink r:id="rId11" ref="B4"/>
    <hyperlink r:id="rId12" ref="L4"/>
    <hyperlink r:id="rId13" ref="B5"/>
    <hyperlink r:id="rId14" ref="L5"/>
    <hyperlink r:id="rId15" ref="B6"/>
    <hyperlink r:id="rId16" ref="L6"/>
    <hyperlink r:id="rId17" ref="B7"/>
    <hyperlink r:id="rId18" ref="L7"/>
    <hyperlink r:id="rId19" ref="B8"/>
    <hyperlink r:id="rId20" ref="L8"/>
    <hyperlink r:id="rId21" ref="B9"/>
    <hyperlink r:id="rId22" ref="L9"/>
    <hyperlink r:id="rId23" ref="B10"/>
    <hyperlink r:id="rId24" ref="L10"/>
    <hyperlink r:id="rId25" ref="B11"/>
    <hyperlink r:id="rId26" ref="L11"/>
    <hyperlink r:id="rId27" ref="B12"/>
    <hyperlink r:id="rId28" ref="L12"/>
    <hyperlink r:id="rId29" ref="B13"/>
    <hyperlink r:id="rId30" ref="L13"/>
    <hyperlink r:id="rId31" ref="B14"/>
    <hyperlink r:id="rId32" ref="L14"/>
    <hyperlink r:id="rId33" ref="B15"/>
    <hyperlink r:id="rId34" ref="L15"/>
    <hyperlink r:id="rId35" ref="B16"/>
    <hyperlink r:id="rId36" ref="L16"/>
    <hyperlink r:id="rId37" ref="B17"/>
    <hyperlink r:id="rId38" ref="L17"/>
    <hyperlink r:id="rId39" ref="B18"/>
    <hyperlink r:id="rId40" ref="L18"/>
    <hyperlink r:id="rId41" ref="B19"/>
    <hyperlink r:id="rId42" ref="L19"/>
    <hyperlink r:id="rId43" ref="B20"/>
    <hyperlink r:id="rId44" ref="L20"/>
    <hyperlink r:id="rId45" ref="B21"/>
    <hyperlink r:id="rId46" ref="L21"/>
    <hyperlink r:id="rId47" ref="B22"/>
    <hyperlink r:id="rId48" ref="L22"/>
    <hyperlink r:id="rId49" ref="B23"/>
    <hyperlink r:id="rId50" ref="L23"/>
    <hyperlink r:id="rId51" ref="B24"/>
    <hyperlink r:id="rId52" ref="L24"/>
    <hyperlink r:id="rId53" ref="B25"/>
    <hyperlink r:id="rId54" ref="L25"/>
    <hyperlink r:id="rId55" ref="B26"/>
    <hyperlink r:id="rId56" ref="L26"/>
    <hyperlink r:id="rId57" ref="B27"/>
    <hyperlink r:id="rId58" ref="L27"/>
    <hyperlink r:id="rId59" ref="B28"/>
    <hyperlink r:id="rId60" ref="L28"/>
    <hyperlink r:id="rId61" ref="B29"/>
    <hyperlink r:id="rId62" ref="L29"/>
    <hyperlink r:id="rId63" ref="B30"/>
    <hyperlink r:id="rId64" ref="L30"/>
    <hyperlink r:id="rId65" ref="B31"/>
    <hyperlink r:id="rId66" ref="L31"/>
    <hyperlink r:id="rId67" ref="B32"/>
    <hyperlink r:id="rId68" ref="L32"/>
    <hyperlink r:id="rId69" ref="B33"/>
    <hyperlink r:id="rId70" ref="L33"/>
    <hyperlink r:id="rId71" ref="B34"/>
    <hyperlink r:id="rId72" ref="L34"/>
    <hyperlink r:id="rId73" ref="B35"/>
    <hyperlink r:id="rId74" ref="L35"/>
    <hyperlink r:id="rId75" ref="B36"/>
    <hyperlink r:id="rId76" ref="L36"/>
    <hyperlink r:id="rId77" ref="B37"/>
    <hyperlink r:id="rId78" ref="B38"/>
    <hyperlink r:id="rId79" ref="L38"/>
    <hyperlink r:id="rId80" ref="B39"/>
    <hyperlink r:id="rId81" ref="L39"/>
    <hyperlink r:id="rId82" ref="B40"/>
    <hyperlink r:id="rId83" ref="L40"/>
    <hyperlink r:id="rId84" ref="B41"/>
    <hyperlink r:id="rId85" ref="L41"/>
    <hyperlink r:id="rId86" ref="B42"/>
    <hyperlink r:id="rId87" ref="L42"/>
    <hyperlink r:id="rId88" ref="B43"/>
    <hyperlink r:id="rId89" ref="L43"/>
    <hyperlink r:id="rId90" ref="B44"/>
    <hyperlink r:id="rId91" ref="L44"/>
    <hyperlink r:id="rId92" ref="B45"/>
    <hyperlink r:id="rId93" ref="L45"/>
    <hyperlink r:id="rId94" ref="B46"/>
    <hyperlink r:id="rId95" ref="L46"/>
    <hyperlink r:id="rId96" ref="B47"/>
    <hyperlink r:id="rId97" ref="L47"/>
    <hyperlink r:id="rId98" ref="B48"/>
    <hyperlink r:id="rId99" ref="L48"/>
    <hyperlink r:id="rId100" ref="B49"/>
    <hyperlink r:id="rId101" ref="L49"/>
    <hyperlink r:id="rId102" ref="B50"/>
    <hyperlink r:id="rId103" ref="L5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4.25"/>
    <col customWidth="1" min="3" max="3" width="13.38"/>
    <col customWidth="1" min="4" max="4" width="57.13"/>
    <col customWidth="1" min="5" max="5" width="22.5"/>
    <col customWidth="1" min="6" max="6" width="49.0"/>
    <col customWidth="1" min="7" max="7" width="9.38"/>
    <col customWidth="1" min="8" max="8" width="16.13"/>
    <col customWidth="1" min="9" max="9" width="21.25"/>
  </cols>
  <sheetData>
    <row r="1">
      <c r="A1" s="107" t="s">
        <v>659</v>
      </c>
      <c r="B1" s="1"/>
      <c r="C1" s="1"/>
      <c r="D1" s="3" t="s">
        <v>660</v>
      </c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/>
      <c r="B2" s="7"/>
      <c r="C2" s="7"/>
      <c r="D2" s="9"/>
      <c r="E2" s="9"/>
      <c r="F2" s="9"/>
      <c r="G2" s="9"/>
      <c r="H2" s="9"/>
      <c r="I2" s="5"/>
    </row>
    <row r="3">
      <c r="A3" s="10"/>
      <c r="B3" s="108" t="s">
        <v>661</v>
      </c>
      <c r="C3" s="11" t="s">
        <v>1</v>
      </c>
      <c r="D3" s="12" t="s">
        <v>2</v>
      </c>
      <c r="E3" s="12" t="s">
        <v>3</v>
      </c>
      <c r="F3" s="12" t="s">
        <v>4</v>
      </c>
      <c r="G3" s="12" t="s">
        <v>5</v>
      </c>
      <c r="H3" s="13" t="s">
        <v>6</v>
      </c>
      <c r="I3" s="14" t="s">
        <v>7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8.0" customHeight="1">
      <c r="A4" s="109"/>
      <c r="B4" s="109"/>
      <c r="C4" s="110" t="s">
        <v>662</v>
      </c>
      <c r="D4" s="111"/>
      <c r="E4" s="112"/>
      <c r="F4" s="113"/>
      <c r="G4" s="114"/>
      <c r="H4" s="115"/>
      <c r="I4" s="116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</row>
    <row r="5">
      <c r="A5" s="118">
        <v>1.0</v>
      </c>
      <c r="B5" s="118"/>
      <c r="C5" s="119" t="s">
        <v>663</v>
      </c>
      <c r="D5" s="120" t="s">
        <v>664</v>
      </c>
      <c r="E5" s="121" t="s">
        <v>665</v>
      </c>
      <c r="F5" s="122" t="s">
        <v>666</v>
      </c>
      <c r="G5" s="123">
        <v>333.0</v>
      </c>
      <c r="H5" s="124">
        <v>1.0</v>
      </c>
      <c r="I5" s="125">
        <v>213.0</v>
      </c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</row>
    <row r="6">
      <c r="A6" s="118"/>
      <c r="B6" s="118"/>
      <c r="C6" s="119" t="s">
        <v>667</v>
      </c>
      <c r="D6" s="126" t="s">
        <v>668</v>
      </c>
      <c r="E6" s="127" t="s">
        <v>669</v>
      </c>
      <c r="F6" s="128" t="s">
        <v>670</v>
      </c>
      <c r="G6" s="123">
        <v>851.0</v>
      </c>
      <c r="H6" s="124">
        <v>2.0</v>
      </c>
      <c r="I6" s="125" t="s">
        <v>671</v>
      </c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</row>
    <row r="7">
      <c r="A7" s="129"/>
      <c r="B7" s="129"/>
      <c r="C7" s="130" t="s">
        <v>672</v>
      </c>
      <c r="D7" s="131"/>
      <c r="E7" s="132"/>
      <c r="F7" s="133"/>
      <c r="G7" s="134"/>
      <c r="H7" s="135"/>
      <c r="I7" s="13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129">
        <v>2.0</v>
      </c>
      <c r="B8" s="129"/>
      <c r="C8" s="130" t="s">
        <v>673</v>
      </c>
      <c r="D8" s="137" t="s">
        <v>674</v>
      </c>
      <c r="E8" s="138" t="s">
        <v>675</v>
      </c>
      <c r="F8" s="139" t="s">
        <v>676</v>
      </c>
      <c r="G8" s="140">
        <v>796.0</v>
      </c>
      <c r="H8" s="141">
        <v>2.0</v>
      </c>
      <c r="I8" s="142" t="s">
        <v>677</v>
      </c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</row>
    <row r="9">
      <c r="A9" s="16">
        <v>3.0</v>
      </c>
      <c r="B9" s="144"/>
      <c r="C9" s="145" t="s">
        <v>678</v>
      </c>
      <c r="D9" s="146"/>
      <c r="E9" s="147"/>
      <c r="F9" s="148"/>
      <c r="G9" s="149"/>
      <c r="H9" s="150"/>
      <c r="I9" s="151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</row>
    <row r="10">
      <c r="A10" s="144">
        <v>4.0</v>
      </c>
      <c r="B10" s="144"/>
      <c r="C10" s="145" t="s">
        <v>679</v>
      </c>
      <c r="D10" s="146" t="s">
        <v>680</v>
      </c>
      <c r="E10" s="147" t="s">
        <v>681</v>
      </c>
      <c r="F10" s="153" t="s">
        <v>682</v>
      </c>
      <c r="G10" s="154">
        <v>747.0</v>
      </c>
      <c r="H10" s="155">
        <v>2.0</v>
      </c>
      <c r="I10" s="156" t="s">
        <v>683</v>
      </c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</row>
    <row r="11">
      <c r="A11" s="144"/>
      <c r="B11" s="144"/>
      <c r="C11" s="145" t="s">
        <v>684</v>
      </c>
      <c r="D11" s="158" t="s">
        <v>685</v>
      </c>
      <c r="E11" s="159" t="s">
        <v>686</v>
      </c>
      <c r="F11" s="148" t="s">
        <v>687</v>
      </c>
      <c r="G11" s="154">
        <v>417.0</v>
      </c>
      <c r="H11" s="155">
        <v>1.0</v>
      </c>
      <c r="I11" s="156" t="s">
        <v>688</v>
      </c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</row>
    <row r="12">
      <c r="A12" s="144">
        <v>5.0</v>
      </c>
      <c r="B12" s="144"/>
      <c r="C12" s="145" t="s">
        <v>689</v>
      </c>
      <c r="D12" s="146" t="s">
        <v>690</v>
      </c>
      <c r="E12" s="147" t="s">
        <v>691</v>
      </c>
      <c r="F12" s="153" t="s">
        <v>692</v>
      </c>
      <c r="G12" s="160">
        <v>2417.0</v>
      </c>
      <c r="H12" s="155">
        <v>4.0</v>
      </c>
      <c r="I12" s="161" t="s">
        <v>693</v>
      </c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</row>
    <row r="13">
      <c r="A13" s="162"/>
      <c r="B13" s="162"/>
      <c r="C13" s="163" t="s">
        <v>694</v>
      </c>
      <c r="D13" s="164"/>
      <c r="E13" s="165"/>
      <c r="F13" s="166"/>
      <c r="G13" s="167"/>
      <c r="H13" s="168"/>
      <c r="I13" s="169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</row>
    <row r="14">
      <c r="A14" s="171">
        <v>9.0</v>
      </c>
      <c r="B14" s="171"/>
      <c r="C14" s="172" t="s">
        <v>695</v>
      </c>
      <c r="D14" s="173" t="s">
        <v>696</v>
      </c>
      <c r="E14" s="174" t="s">
        <v>697</v>
      </c>
      <c r="F14" s="175" t="s">
        <v>698</v>
      </c>
      <c r="G14" s="176">
        <v>418.0</v>
      </c>
      <c r="H14" s="177">
        <v>1.0</v>
      </c>
      <c r="I14" s="178" t="s">
        <v>699</v>
      </c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</row>
    <row r="15">
      <c r="A15" s="109"/>
      <c r="B15" s="109"/>
      <c r="C15" s="110" t="s">
        <v>700</v>
      </c>
      <c r="D15" s="180"/>
      <c r="E15" s="181"/>
      <c r="F15" s="182"/>
      <c r="G15" s="183"/>
      <c r="H15" s="184"/>
      <c r="I15" s="185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</row>
    <row r="16">
      <c r="A16" s="118">
        <v>6.0</v>
      </c>
      <c r="B16" s="118"/>
      <c r="C16" s="119" t="s">
        <v>701</v>
      </c>
      <c r="D16" s="126" t="s">
        <v>702</v>
      </c>
      <c r="E16" s="127" t="s">
        <v>703</v>
      </c>
      <c r="F16" s="122" t="s">
        <v>704</v>
      </c>
      <c r="G16" s="123">
        <v>505.0</v>
      </c>
      <c r="H16" s="124">
        <v>1.0</v>
      </c>
      <c r="I16" s="186" t="s">
        <v>705</v>
      </c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</row>
    <row r="17">
      <c r="A17" s="118">
        <v>7.0</v>
      </c>
      <c r="B17" s="118"/>
      <c r="C17" s="119" t="s">
        <v>706</v>
      </c>
      <c r="D17" s="120" t="s">
        <v>707</v>
      </c>
      <c r="E17" s="121" t="s">
        <v>708</v>
      </c>
      <c r="F17" s="128" t="s">
        <v>709</v>
      </c>
      <c r="G17" s="187">
        <v>1779.0</v>
      </c>
      <c r="H17" s="124">
        <v>3.0</v>
      </c>
      <c r="I17" s="186" t="s">
        <v>710</v>
      </c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>
      <c r="A18" s="118">
        <v>8.0</v>
      </c>
      <c r="B18" s="118"/>
      <c r="C18" s="119" t="s">
        <v>711</v>
      </c>
      <c r="D18" s="120" t="s">
        <v>712</v>
      </c>
      <c r="E18" s="121" t="s">
        <v>713</v>
      </c>
      <c r="F18" s="128" t="s">
        <v>714</v>
      </c>
      <c r="G18" s="187">
        <v>1065.0</v>
      </c>
      <c r="H18" s="124">
        <v>2.0</v>
      </c>
      <c r="I18" s="188" t="s">
        <v>715</v>
      </c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</row>
    <row r="19">
      <c r="A19" s="16">
        <v>10.0</v>
      </c>
      <c r="B19" s="16"/>
      <c r="C19" s="17"/>
      <c r="D19" s="24"/>
      <c r="E19" s="33"/>
      <c r="F19" s="32"/>
      <c r="G19" s="27"/>
      <c r="H19" s="28"/>
      <c r="I19" s="53"/>
    </row>
    <row r="20">
      <c r="A20" s="16">
        <v>11.0</v>
      </c>
      <c r="B20" s="16"/>
      <c r="C20" s="17"/>
      <c r="D20" s="24"/>
      <c r="E20" s="33"/>
      <c r="F20" s="32"/>
      <c r="G20" s="27"/>
      <c r="H20" s="28"/>
      <c r="I20" s="54"/>
    </row>
    <row r="21">
      <c r="A21" s="16">
        <v>12.0</v>
      </c>
      <c r="B21" s="16"/>
      <c r="C21" s="17"/>
      <c r="D21" s="24"/>
      <c r="E21" s="33"/>
      <c r="F21" s="32"/>
      <c r="G21" s="27"/>
      <c r="H21" s="28"/>
      <c r="I21" s="53"/>
    </row>
    <row r="22">
      <c r="A22" s="16">
        <v>13.0</v>
      </c>
      <c r="B22" s="16"/>
      <c r="C22" s="17"/>
      <c r="D22" s="24"/>
      <c r="E22" s="33"/>
      <c r="F22" s="32"/>
      <c r="G22" s="27"/>
      <c r="H22" s="28"/>
      <c r="I22" s="53"/>
    </row>
    <row r="23">
      <c r="A23" s="16">
        <v>14.0</v>
      </c>
      <c r="B23" s="16"/>
      <c r="C23" s="17"/>
      <c r="D23" s="24"/>
      <c r="E23" s="33"/>
      <c r="F23" s="32"/>
      <c r="G23" s="27"/>
      <c r="H23" s="28"/>
      <c r="I23" s="29"/>
    </row>
    <row r="24">
      <c r="A24" s="16">
        <v>15.0</v>
      </c>
      <c r="B24" s="16"/>
      <c r="C24" s="17"/>
      <c r="D24" s="24"/>
      <c r="E24" s="33"/>
      <c r="F24" s="32"/>
      <c r="G24" s="27"/>
      <c r="H24" s="28"/>
      <c r="I24" s="35"/>
    </row>
    <row r="25">
      <c r="A25" s="16">
        <v>16.0</v>
      </c>
      <c r="B25" s="16"/>
      <c r="C25" s="17"/>
      <c r="D25" s="24"/>
      <c r="E25" s="33"/>
      <c r="F25" s="32"/>
      <c r="G25" s="189"/>
      <c r="H25" s="190"/>
      <c r="I25" s="191"/>
    </row>
    <row r="26">
      <c r="A26" s="16">
        <v>17.0</v>
      </c>
      <c r="B26" s="16"/>
      <c r="C26" s="17"/>
      <c r="D26" s="30"/>
      <c r="E26" s="31"/>
      <c r="F26" s="26"/>
      <c r="G26" s="189"/>
      <c r="H26" s="190"/>
      <c r="I26" s="191"/>
    </row>
    <row r="27">
      <c r="A27" s="16">
        <v>18.0</v>
      </c>
      <c r="B27" s="16"/>
      <c r="C27" s="17"/>
      <c r="D27" s="24"/>
      <c r="E27" s="33"/>
      <c r="F27" s="32"/>
      <c r="G27" s="27"/>
      <c r="H27" s="28"/>
      <c r="I27" s="29"/>
    </row>
    <row r="28">
      <c r="A28" s="16">
        <v>18.0</v>
      </c>
      <c r="B28" s="16"/>
      <c r="C28" s="17"/>
      <c r="D28" s="24"/>
      <c r="E28" s="33"/>
      <c r="F28" s="32"/>
      <c r="G28" s="27"/>
      <c r="H28" s="28"/>
      <c r="I28" s="35"/>
    </row>
    <row r="29">
      <c r="A29" s="16">
        <v>20.0</v>
      </c>
      <c r="B29" s="16"/>
      <c r="C29" s="17"/>
      <c r="D29" s="24"/>
      <c r="E29" s="33"/>
      <c r="F29" s="32"/>
      <c r="G29" s="27"/>
      <c r="H29" s="28"/>
      <c r="I29" s="29"/>
    </row>
    <row r="30">
      <c r="A30" s="16">
        <v>21.0</v>
      </c>
      <c r="B30" s="16"/>
      <c r="C30" s="17"/>
      <c r="D30" s="24"/>
      <c r="E30" s="33"/>
      <c r="F30" s="32"/>
      <c r="G30" s="27"/>
      <c r="H30" s="28"/>
      <c r="I30" s="29"/>
    </row>
    <row r="31">
      <c r="A31" s="16">
        <v>22.0</v>
      </c>
      <c r="B31" s="16"/>
      <c r="C31" s="17"/>
      <c r="D31" s="24"/>
      <c r="E31" s="33"/>
      <c r="F31" s="32"/>
      <c r="G31" s="27"/>
      <c r="H31" s="28"/>
      <c r="I31" s="29"/>
    </row>
    <row r="32">
      <c r="A32" s="16">
        <v>23.0</v>
      </c>
      <c r="B32" s="16"/>
      <c r="C32" s="17"/>
      <c r="D32" s="24"/>
      <c r="E32" s="33"/>
      <c r="F32" s="32"/>
      <c r="G32" s="27"/>
      <c r="H32" s="28"/>
      <c r="I32" s="35"/>
    </row>
    <row r="33">
      <c r="A33" s="16">
        <v>24.0</v>
      </c>
      <c r="B33" s="16"/>
      <c r="C33" s="17"/>
      <c r="D33" s="24"/>
      <c r="E33" s="33"/>
      <c r="F33" s="32"/>
      <c r="G33" s="27"/>
      <c r="H33" s="28"/>
      <c r="I33" s="29"/>
    </row>
    <row r="34">
      <c r="A34" s="16">
        <v>25.0</v>
      </c>
      <c r="B34" s="16"/>
      <c r="C34" s="17"/>
      <c r="D34" s="24"/>
      <c r="E34" s="33"/>
      <c r="F34" s="32"/>
      <c r="G34" s="27"/>
      <c r="H34" s="28"/>
      <c r="I34" s="35"/>
    </row>
    <row r="35">
      <c r="A35" s="16">
        <v>26.0</v>
      </c>
      <c r="B35" s="16"/>
      <c r="C35" s="17"/>
      <c r="D35" s="24"/>
      <c r="E35" s="33"/>
      <c r="F35" s="32"/>
      <c r="G35" s="189"/>
      <c r="H35" s="190"/>
      <c r="I35" s="192"/>
    </row>
    <row r="36">
      <c r="A36" s="43">
        <v>27.0</v>
      </c>
      <c r="B36" s="40"/>
      <c r="C36" s="40"/>
      <c r="D36" s="42"/>
      <c r="E36" s="42"/>
      <c r="F36" s="42"/>
      <c r="G36" s="43">
        <f t="shared" ref="G36:H36" si="1">SUM(G5:G35)</f>
        <v>9328</v>
      </c>
      <c r="H36" s="44">
        <f t="shared" si="1"/>
        <v>19</v>
      </c>
      <c r="I36" s="45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>
      <c r="A37" s="7"/>
      <c r="I37" s="48"/>
    </row>
    <row r="38">
      <c r="I38" s="48"/>
    </row>
    <row r="39">
      <c r="I39" s="48"/>
    </row>
    <row r="40">
      <c r="I40" s="48"/>
    </row>
    <row r="41">
      <c r="I41" s="48"/>
    </row>
    <row r="42">
      <c r="I42" s="48"/>
    </row>
    <row r="43">
      <c r="I43" s="48"/>
    </row>
    <row r="44">
      <c r="I44" s="48"/>
    </row>
    <row r="45">
      <c r="I45" s="48"/>
    </row>
    <row r="46">
      <c r="I46" s="48"/>
    </row>
    <row r="47">
      <c r="I47" s="48"/>
    </row>
    <row r="48">
      <c r="I48" s="48"/>
    </row>
    <row r="49">
      <c r="I49" s="48"/>
    </row>
    <row r="50">
      <c r="I50" s="48"/>
    </row>
    <row r="51">
      <c r="I51" s="48"/>
    </row>
    <row r="52">
      <c r="I52" s="48"/>
    </row>
    <row r="53">
      <c r="I53" s="48"/>
    </row>
    <row r="54">
      <c r="I54" s="48"/>
    </row>
    <row r="55">
      <c r="I55" s="48"/>
    </row>
    <row r="56">
      <c r="I56" s="48"/>
    </row>
    <row r="57">
      <c r="I57" s="48"/>
    </row>
    <row r="58">
      <c r="I58" s="48"/>
    </row>
    <row r="59">
      <c r="I59" s="48"/>
    </row>
    <row r="60">
      <c r="I60" s="48"/>
    </row>
    <row r="61">
      <c r="I61" s="48"/>
    </row>
    <row r="62">
      <c r="I62" s="48"/>
    </row>
    <row r="63">
      <c r="I63" s="48"/>
    </row>
    <row r="64">
      <c r="I64" s="48"/>
    </row>
    <row r="65">
      <c r="I65" s="48"/>
    </row>
    <row r="66">
      <c r="I66" s="48"/>
    </row>
    <row r="67">
      <c r="I67" s="48"/>
    </row>
    <row r="68">
      <c r="I68" s="48"/>
    </row>
    <row r="69">
      <c r="I69" s="48"/>
    </row>
    <row r="70">
      <c r="I70" s="48"/>
    </row>
    <row r="71">
      <c r="I71" s="48"/>
    </row>
    <row r="72">
      <c r="I72" s="48"/>
    </row>
    <row r="73">
      <c r="I73" s="48"/>
    </row>
    <row r="74">
      <c r="I74" s="48"/>
    </row>
    <row r="75">
      <c r="I75" s="48"/>
    </row>
    <row r="76">
      <c r="I76" s="48"/>
    </row>
    <row r="77">
      <c r="I77" s="48"/>
    </row>
    <row r="78">
      <c r="I78" s="48"/>
    </row>
    <row r="79">
      <c r="I79" s="48"/>
    </row>
    <row r="80">
      <c r="I80" s="48"/>
    </row>
    <row r="81">
      <c r="I81" s="48"/>
    </row>
    <row r="82">
      <c r="I82" s="48"/>
    </row>
    <row r="83">
      <c r="I83" s="48"/>
    </row>
    <row r="84">
      <c r="I84" s="48"/>
    </row>
    <row r="85">
      <c r="I85" s="48"/>
    </row>
    <row r="86">
      <c r="I86" s="48"/>
    </row>
    <row r="87">
      <c r="I87" s="48"/>
    </row>
    <row r="88">
      <c r="I88" s="48"/>
    </row>
    <row r="89">
      <c r="I89" s="48"/>
    </row>
    <row r="90">
      <c r="I90" s="48"/>
    </row>
    <row r="91">
      <c r="I91" s="48"/>
    </row>
    <row r="92">
      <c r="I92" s="48"/>
    </row>
    <row r="93">
      <c r="I93" s="48"/>
    </row>
    <row r="94">
      <c r="I94" s="48"/>
    </row>
    <row r="95">
      <c r="I95" s="48"/>
    </row>
    <row r="96">
      <c r="I96" s="48"/>
    </row>
    <row r="97">
      <c r="I97" s="48"/>
    </row>
    <row r="98">
      <c r="I98" s="48"/>
    </row>
    <row r="99">
      <c r="I99" s="48"/>
    </row>
    <row r="100">
      <c r="I100" s="48"/>
    </row>
    <row r="101">
      <c r="I101" s="48"/>
    </row>
    <row r="102">
      <c r="I102" s="48"/>
    </row>
    <row r="103">
      <c r="I103" s="48"/>
    </row>
    <row r="104">
      <c r="I104" s="48"/>
    </row>
    <row r="105">
      <c r="I105" s="48"/>
    </row>
    <row r="106">
      <c r="I106" s="48"/>
    </row>
    <row r="107">
      <c r="I107" s="48"/>
    </row>
    <row r="108">
      <c r="I108" s="48"/>
    </row>
    <row r="109">
      <c r="I109" s="48"/>
    </row>
    <row r="110">
      <c r="I110" s="48"/>
    </row>
    <row r="111">
      <c r="I111" s="48"/>
    </row>
    <row r="112">
      <c r="I112" s="48"/>
    </row>
    <row r="113">
      <c r="I113" s="48"/>
    </row>
    <row r="114">
      <c r="I114" s="48"/>
    </row>
    <row r="115">
      <c r="I115" s="48"/>
    </row>
    <row r="116">
      <c r="I116" s="48"/>
    </row>
    <row r="117">
      <c r="I117" s="48"/>
    </row>
    <row r="118">
      <c r="I118" s="48"/>
    </row>
    <row r="119">
      <c r="I119" s="48"/>
    </row>
    <row r="120">
      <c r="I120" s="48"/>
    </row>
    <row r="121">
      <c r="I121" s="48"/>
    </row>
    <row r="122">
      <c r="I122" s="48"/>
    </row>
    <row r="123">
      <c r="I123" s="48"/>
    </row>
    <row r="124">
      <c r="I124" s="48"/>
    </row>
    <row r="125">
      <c r="I125" s="48"/>
    </row>
    <row r="126">
      <c r="I126" s="48"/>
    </row>
    <row r="127">
      <c r="I127" s="48"/>
    </row>
    <row r="128">
      <c r="I128" s="48"/>
    </row>
    <row r="129">
      <c r="I129" s="48"/>
    </row>
    <row r="130">
      <c r="I130" s="48"/>
    </row>
    <row r="131">
      <c r="I131" s="48"/>
    </row>
    <row r="132">
      <c r="I132" s="48"/>
    </row>
    <row r="133">
      <c r="I133" s="48"/>
    </row>
    <row r="134">
      <c r="I134" s="48"/>
    </row>
    <row r="135">
      <c r="I135" s="48"/>
    </row>
    <row r="136">
      <c r="I136" s="48"/>
    </row>
    <row r="137">
      <c r="I137" s="48"/>
    </row>
    <row r="138">
      <c r="I138" s="48"/>
    </row>
    <row r="139">
      <c r="I139" s="48"/>
    </row>
    <row r="140">
      <c r="I140" s="48"/>
    </row>
    <row r="141">
      <c r="I141" s="48"/>
    </row>
    <row r="142">
      <c r="I142" s="48"/>
    </row>
    <row r="143">
      <c r="I143" s="48"/>
    </row>
    <row r="144">
      <c r="I144" s="48"/>
    </row>
    <row r="145">
      <c r="I145" s="48"/>
    </row>
    <row r="146">
      <c r="I146" s="48"/>
    </row>
    <row r="147">
      <c r="I147" s="48"/>
    </row>
    <row r="148">
      <c r="I148" s="48"/>
    </row>
    <row r="149">
      <c r="I149" s="48"/>
    </row>
    <row r="150">
      <c r="I150" s="48"/>
    </row>
    <row r="151">
      <c r="I151" s="48"/>
    </row>
    <row r="152">
      <c r="I152" s="48"/>
    </row>
    <row r="153">
      <c r="I153" s="48"/>
    </row>
    <row r="154">
      <c r="I154" s="48"/>
    </row>
    <row r="155">
      <c r="I155" s="48"/>
    </row>
    <row r="156">
      <c r="I156" s="48"/>
    </row>
    <row r="157">
      <c r="I157" s="48"/>
    </row>
    <row r="158">
      <c r="I158" s="48"/>
    </row>
    <row r="159">
      <c r="I159" s="48"/>
    </row>
    <row r="160">
      <c r="I160" s="48"/>
    </row>
    <row r="161">
      <c r="I161" s="48"/>
    </row>
    <row r="162">
      <c r="I162" s="48"/>
    </row>
    <row r="163">
      <c r="I163" s="48"/>
    </row>
    <row r="164">
      <c r="I164" s="48"/>
    </row>
    <row r="165">
      <c r="I165" s="48"/>
    </row>
    <row r="166">
      <c r="I166" s="48"/>
    </row>
    <row r="167">
      <c r="I167" s="48"/>
    </row>
    <row r="168">
      <c r="I168" s="48"/>
    </row>
    <row r="169">
      <c r="I169" s="48"/>
    </row>
    <row r="170">
      <c r="I170" s="48"/>
    </row>
    <row r="171">
      <c r="I171" s="48"/>
    </row>
    <row r="172">
      <c r="I172" s="48"/>
    </row>
    <row r="173">
      <c r="I173" s="48"/>
    </row>
    <row r="174">
      <c r="I174" s="48"/>
    </row>
    <row r="175">
      <c r="I175" s="48"/>
    </row>
    <row r="176">
      <c r="I176" s="48"/>
    </row>
    <row r="177">
      <c r="I177" s="48"/>
    </row>
    <row r="178">
      <c r="I178" s="48"/>
    </row>
    <row r="179">
      <c r="I179" s="48"/>
    </row>
    <row r="180">
      <c r="I180" s="48"/>
    </row>
    <row r="181">
      <c r="I181" s="48"/>
    </row>
    <row r="182">
      <c r="I182" s="48"/>
    </row>
    <row r="183">
      <c r="I183" s="48"/>
    </row>
    <row r="184">
      <c r="I184" s="48"/>
    </row>
    <row r="185">
      <c r="I185" s="48"/>
    </row>
    <row r="186">
      <c r="I186" s="48"/>
    </row>
    <row r="187">
      <c r="I187" s="48"/>
    </row>
    <row r="188">
      <c r="I188" s="48"/>
    </row>
    <row r="189">
      <c r="I189" s="48"/>
    </row>
    <row r="190">
      <c r="I190" s="48"/>
    </row>
    <row r="191">
      <c r="I191" s="48"/>
    </row>
    <row r="192">
      <c r="I192" s="48"/>
    </row>
    <row r="193">
      <c r="I193" s="48"/>
    </row>
    <row r="194">
      <c r="I194" s="48"/>
    </row>
    <row r="195">
      <c r="I195" s="48"/>
    </row>
    <row r="196">
      <c r="I196" s="48"/>
    </row>
    <row r="197">
      <c r="I197" s="48"/>
    </row>
    <row r="198">
      <c r="I198" s="48"/>
    </row>
    <row r="199">
      <c r="I199" s="48"/>
    </row>
    <row r="200">
      <c r="I200" s="48"/>
    </row>
    <row r="201">
      <c r="I201" s="48"/>
    </row>
    <row r="202">
      <c r="I202" s="48"/>
    </row>
    <row r="203">
      <c r="I203" s="48"/>
    </row>
    <row r="204">
      <c r="I204" s="48"/>
    </row>
    <row r="205">
      <c r="I205" s="48"/>
    </row>
    <row r="206">
      <c r="I206" s="48"/>
    </row>
    <row r="207">
      <c r="I207" s="48"/>
    </row>
    <row r="208">
      <c r="I208" s="48"/>
    </row>
    <row r="209">
      <c r="I209" s="48"/>
    </row>
    <row r="210">
      <c r="I210" s="48"/>
    </row>
    <row r="211">
      <c r="I211" s="48"/>
    </row>
    <row r="212">
      <c r="I212" s="48"/>
    </row>
    <row r="213">
      <c r="I213" s="48"/>
    </row>
    <row r="214">
      <c r="I214" s="48"/>
    </row>
    <row r="215">
      <c r="I215" s="48"/>
    </row>
    <row r="216">
      <c r="I216" s="48"/>
    </row>
    <row r="217">
      <c r="I217" s="48"/>
    </row>
    <row r="218">
      <c r="I218" s="48"/>
    </row>
    <row r="219">
      <c r="I219" s="48"/>
    </row>
    <row r="220">
      <c r="I220" s="48"/>
    </row>
    <row r="221">
      <c r="I221" s="48"/>
    </row>
    <row r="222">
      <c r="I222" s="48"/>
    </row>
    <row r="223">
      <c r="I223" s="48"/>
    </row>
    <row r="224">
      <c r="I224" s="48"/>
    </row>
    <row r="225">
      <c r="I225" s="48"/>
    </row>
    <row r="226">
      <c r="I226" s="48"/>
    </row>
    <row r="227">
      <c r="I227" s="48"/>
    </row>
    <row r="228">
      <c r="I228" s="48"/>
    </row>
    <row r="229">
      <c r="I229" s="48"/>
    </row>
    <row r="230">
      <c r="I230" s="48"/>
    </row>
    <row r="231">
      <c r="I231" s="48"/>
    </row>
    <row r="232">
      <c r="I232" s="48"/>
    </row>
    <row r="233">
      <c r="I233" s="48"/>
    </row>
    <row r="234">
      <c r="I234" s="48"/>
    </row>
    <row r="235">
      <c r="I235" s="48"/>
    </row>
    <row r="236">
      <c r="I236" s="48"/>
    </row>
    <row r="237">
      <c r="I237" s="48"/>
    </row>
    <row r="238">
      <c r="I238" s="48"/>
    </row>
    <row r="239">
      <c r="I239" s="48"/>
    </row>
    <row r="240">
      <c r="I240" s="48"/>
    </row>
    <row r="241">
      <c r="I241" s="48"/>
    </row>
    <row r="242">
      <c r="I242" s="48"/>
    </row>
    <row r="243">
      <c r="I243" s="48"/>
    </row>
    <row r="244">
      <c r="I244" s="48"/>
    </row>
    <row r="245">
      <c r="I245" s="48"/>
    </row>
    <row r="246">
      <c r="I246" s="48"/>
    </row>
    <row r="247">
      <c r="I247" s="48"/>
    </row>
    <row r="248">
      <c r="I248" s="48"/>
    </row>
    <row r="249">
      <c r="I249" s="48"/>
    </row>
    <row r="250">
      <c r="I250" s="48"/>
    </row>
    <row r="251">
      <c r="I251" s="48"/>
    </row>
    <row r="252">
      <c r="I252" s="48"/>
    </row>
    <row r="253">
      <c r="I253" s="48"/>
    </row>
    <row r="254">
      <c r="I254" s="48"/>
    </row>
    <row r="255">
      <c r="I255" s="48"/>
    </row>
    <row r="256">
      <c r="I256" s="48"/>
    </row>
    <row r="257">
      <c r="I257" s="48"/>
    </row>
    <row r="258">
      <c r="I258" s="48"/>
    </row>
    <row r="259">
      <c r="I259" s="48"/>
    </row>
    <row r="260">
      <c r="I260" s="48"/>
    </row>
    <row r="261">
      <c r="I261" s="48"/>
    </row>
    <row r="262">
      <c r="I262" s="48"/>
    </row>
    <row r="263">
      <c r="I263" s="48"/>
    </row>
    <row r="264">
      <c r="I264" s="48"/>
    </row>
    <row r="265">
      <c r="I265" s="48"/>
    </row>
    <row r="266">
      <c r="I266" s="48"/>
    </row>
    <row r="267">
      <c r="I267" s="48"/>
    </row>
    <row r="268">
      <c r="I268" s="48"/>
    </row>
    <row r="269">
      <c r="I269" s="48"/>
    </row>
    <row r="270">
      <c r="I270" s="48"/>
    </row>
    <row r="271">
      <c r="I271" s="48"/>
    </row>
    <row r="272">
      <c r="I272" s="48"/>
    </row>
    <row r="273">
      <c r="I273" s="48"/>
    </row>
    <row r="274">
      <c r="I274" s="48"/>
    </row>
    <row r="275">
      <c r="I275" s="48"/>
    </row>
    <row r="276">
      <c r="I276" s="48"/>
    </row>
    <row r="277">
      <c r="I277" s="48"/>
    </row>
    <row r="278">
      <c r="I278" s="48"/>
    </row>
    <row r="279">
      <c r="I279" s="48"/>
    </row>
    <row r="280">
      <c r="I280" s="48"/>
    </row>
    <row r="281">
      <c r="I281" s="48"/>
    </row>
    <row r="282">
      <c r="I282" s="48"/>
    </row>
    <row r="283">
      <c r="I283" s="48"/>
    </row>
    <row r="284">
      <c r="I284" s="48"/>
    </row>
    <row r="285">
      <c r="I285" s="48"/>
    </row>
    <row r="286">
      <c r="I286" s="48"/>
    </row>
    <row r="287">
      <c r="I287" s="48"/>
    </row>
    <row r="288">
      <c r="I288" s="48"/>
    </row>
    <row r="289">
      <c r="I289" s="48"/>
    </row>
    <row r="290">
      <c r="I290" s="48"/>
    </row>
    <row r="291">
      <c r="I291" s="48"/>
    </row>
    <row r="292">
      <c r="I292" s="48"/>
    </row>
    <row r="293">
      <c r="I293" s="48"/>
    </row>
    <row r="294">
      <c r="I294" s="48"/>
    </row>
    <row r="295">
      <c r="I295" s="48"/>
    </row>
    <row r="296">
      <c r="I296" s="48"/>
    </row>
    <row r="297">
      <c r="I297" s="48"/>
    </row>
    <row r="298">
      <c r="I298" s="48"/>
    </row>
    <row r="299">
      <c r="I299" s="48"/>
    </row>
    <row r="300">
      <c r="I300" s="48"/>
    </row>
    <row r="301">
      <c r="I301" s="48"/>
    </row>
    <row r="302">
      <c r="I302" s="48"/>
    </row>
    <row r="303">
      <c r="I303" s="48"/>
    </row>
    <row r="304">
      <c r="I304" s="48"/>
    </row>
    <row r="305">
      <c r="I305" s="48"/>
    </row>
    <row r="306">
      <c r="I306" s="48"/>
    </row>
    <row r="307">
      <c r="I307" s="48"/>
    </row>
    <row r="308">
      <c r="I308" s="48"/>
    </row>
    <row r="309">
      <c r="I309" s="48"/>
    </row>
    <row r="310">
      <c r="I310" s="48"/>
    </row>
    <row r="311">
      <c r="I311" s="48"/>
    </row>
    <row r="312">
      <c r="I312" s="48"/>
    </row>
    <row r="313">
      <c r="I313" s="48"/>
    </row>
    <row r="314">
      <c r="I314" s="48"/>
    </row>
    <row r="315">
      <c r="I315" s="48"/>
    </row>
    <row r="316">
      <c r="I316" s="48"/>
    </row>
    <row r="317">
      <c r="I317" s="48"/>
    </row>
    <row r="318">
      <c r="I318" s="48"/>
    </row>
    <row r="319">
      <c r="I319" s="48"/>
    </row>
    <row r="320">
      <c r="I320" s="48"/>
    </row>
    <row r="321">
      <c r="I321" s="48"/>
    </row>
    <row r="322">
      <c r="I322" s="48"/>
    </row>
    <row r="323">
      <c r="I323" s="48"/>
    </row>
    <row r="324">
      <c r="I324" s="48"/>
    </row>
    <row r="325">
      <c r="I325" s="48"/>
    </row>
    <row r="326">
      <c r="I326" s="48"/>
    </row>
    <row r="327">
      <c r="I327" s="48"/>
    </row>
    <row r="328">
      <c r="I328" s="48"/>
    </row>
    <row r="329">
      <c r="I329" s="48"/>
    </row>
    <row r="330">
      <c r="I330" s="48"/>
    </row>
    <row r="331">
      <c r="I331" s="48"/>
    </row>
    <row r="332">
      <c r="I332" s="48"/>
    </row>
    <row r="333">
      <c r="I333" s="48"/>
    </row>
    <row r="334">
      <c r="I334" s="48"/>
    </row>
    <row r="335">
      <c r="I335" s="48"/>
    </row>
    <row r="336">
      <c r="I336" s="48"/>
    </row>
    <row r="337">
      <c r="I337" s="48"/>
    </row>
    <row r="338">
      <c r="I338" s="48"/>
    </row>
    <row r="339">
      <c r="I339" s="48"/>
    </row>
    <row r="340">
      <c r="I340" s="48"/>
    </row>
    <row r="341">
      <c r="I341" s="48"/>
    </row>
    <row r="342">
      <c r="I342" s="48"/>
    </row>
    <row r="343">
      <c r="I343" s="48"/>
    </row>
    <row r="344">
      <c r="I344" s="48"/>
    </row>
    <row r="345">
      <c r="I345" s="48"/>
    </row>
    <row r="346">
      <c r="I346" s="48"/>
    </row>
    <row r="347">
      <c r="I347" s="48"/>
    </row>
    <row r="348">
      <c r="I348" s="48"/>
    </row>
    <row r="349">
      <c r="I349" s="48"/>
    </row>
    <row r="350">
      <c r="I350" s="48"/>
    </row>
    <row r="351">
      <c r="I351" s="48"/>
    </row>
    <row r="352">
      <c r="I352" s="48"/>
    </row>
    <row r="353">
      <c r="I353" s="48"/>
    </row>
    <row r="354">
      <c r="I354" s="48"/>
    </row>
    <row r="355">
      <c r="I355" s="48"/>
    </row>
    <row r="356">
      <c r="I356" s="48"/>
    </row>
    <row r="357">
      <c r="I357" s="48"/>
    </row>
    <row r="358">
      <c r="I358" s="48"/>
    </row>
    <row r="359">
      <c r="I359" s="48"/>
    </row>
    <row r="360">
      <c r="I360" s="48"/>
    </row>
    <row r="361">
      <c r="I361" s="48"/>
    </row>
    <row r="362">
      <c r="I362" s="48"/>
    </row>
    <row r="363">
      <c r="I363" s="48"/>
    </row>
    <row r="364">
      <c r="I364" s="48"/>
    </row>
    <row r="365">
      <c r="I365" s="48"/>
    </row>
    <row r="366">
      <c r="I366" s="48"/>
    </row>
    <row r="367">
      <c r="I367" s="48"/>
    </row>
    <row r="368">
      <c r="I368" s="48"/>
    </row>
    <row r="369">
      <c r="I369" s="48"/>
    </row>
    <row r="370">
      <c r="I370" s="48"/>
    </row>
    <row r="371">
      <c r="I371" s="48"/>
    </row>
    <row r="372">
      <c r="I372" s="48"/>
    </row>
    <row r="373">
      <c r="I373" s="48"/>
    </row>
    <row r="374">
      <c r="I374" s="48"/>
    </row>
    <row r="375">
      <c r="I375" s="48"/>
    </row>
    <row r="376">
      <c r="I376" s="48"/>
    </row>
    <row r="377">
      <c r="I377" s="48"/>
    </row>
    <row r="378">
      <c r="I378" s="48"/>
    </row>
    <row r="379">
      <c r="I379" s="48"/>
    </row>
    <row r="380">
      <c r="I380" s="48"/>
    </row>
    <row r="381">
      <c r="I381" s="48"/>
    </row>
    <row r="382">
      <c r="I382" s="48"/>
    </row>
    <row r="383">
      <c r="I383" s="48"/>
    </row>
    <row r="384">
      <c r="I384" s="48"/>
    </row>
    <row r="385">
      <c r="I385" s="48"/>
    </row>
    <row r="386">
      <c r="I386" s="48"/>
    </row>
    <row r="387">
      <c r="I387" s="48"/>
    </row>
    <row r="388">
      <c r="I388" s="48"/>
    </row>
    <row r="389">
      <c r="I389" s="48"/>
    </row>
    <row r="390">
      <c r="I390" s="48"/>
    </row>
    <row r="391">
      <c r="I391" s="48"/>
    </row>
    <row r="392">
      <c r="I392" s="48"/>
    </row>
    <row r="393">
      <c r="I393" s="48"/>
    </row>
    <row r="394">
      <c r="I394" s="48"/>
    </row>
    <row r="395">
      <c r="I395" s="48"/>
    </row>
    <row r="396">
      <c r="I396" s="48"/>
    </row>
    <row r="397">
      <c r="I397" s="48"/>
    </row>
    <row r="398">
      <c r="I398" s="48"/>
    </row>
    <row r="399">
      <c r="I399" s="48"/>
    </row>
    <row r="400">
      <c r="I400" s="48"/>
    </row>
    <row r="401">
      <c r="I401" s="48"/>
    </row>
    <row r="402">
      <c r="I402" s="48"/>
    </row>
    <row r="403">
      <c r="I403" s="48"/>
    </row>
    <row r="404">
      <c r="I404" s="48"/>
    </row>
    <row r="405">
      <c r="I405" s="48"/>
    </row>
    <row r="406">
      <c r="I406" s="48"/>
    </row>
    <row r="407">
      <c r="I407" s="48"/>
    </row>
    <row r="408">
      <c r="I408" s="48"/>
    </row>
    <row r="409">
      <c r="I409" s="48"/>
    </row>
    <row r="410">
      <c r="I410" s="48"/>
    </row>
    <row r="411">
      <c r="I411" s="48"/>
    </row>
    <row r="412">
      <c r="I412" s="48"/>
    </row>
    <row r="413">
      <c r="I413" s="48"/>
    </row>
    <row r="414">
      <c r="I414" s="48"/>
    </row>
    <row r="415">
      <c r="I415" s="48"/>
    </row>
    <row r="416">
      <c r="I416" s="48"/>
    </row>
    <row r="417">
      <c r="I417" s="48"/>
    </row>
    <row r="418">
      <c r="I418" s="48"/>
    </row>
    <row r="419">
      <c r="I419" s="48"/>
    </row>
    <row r="420">
      <c r="I420" s="48"/>
    </row>
    <row r="421">
      <c r="I421" s="48"/>
    </row>
    <row r="422">
      <c r="I422" s="48"/>
    </row>
    <row r="423">
      <c r="I423" s="48"/>
    </row>
    <row r="424">
      <c r="I424" s="48"/>
    </row>
    <row r="425">
      <c r="I425" s="48"/>
    </row>
    <row r="426">
      <c r="I426" s="48"/>
    </row>
    <row r="427">
      <c r="I427" s="48"/>
    </row>
    <row r="428">
      <c r="I428" s="48"/>
    </row>
    <row r="429">
      <c r="I429" s="48"/>
    </row>
    <row r="430">
      <c r="I430" s="48"/>
    </row>
    <row r="431">
      <c r="I431" s="48"/>
    </row>
    <row r="432">
      <c r="I432" s="48"/>
    </row>
    <row r="433">
      <c r="I433" s="48"/>
    </row>
    <row r="434">
      <c r="I434" s="48"/>
    </row>
    <row r="435">
      <c r="I435" s="48"/>
    </row>
    <row r="436">
      <c r="I436" s="48"/>
    </row>
    <row r="437">
      <c r="I437" s="48"/>
    </row>
    <row r="438">
      <c r="I438" s="48"/>
    </row>
    <row r="439">
      <c r="I439" s="48"/>
    </row>
    <row r="440">
      <c r="I440" s="48"/>
    </row>
    <row r="441">
      <c r="I441" s="48"/>
    </row>
    <row r="442">
      <c r="I442" s="48"/>
    </row>
    <row r="443">
      <c r="I443" s="48"/>
    </row>
    <row r="444">
      <c r="I444" s="48"/>
    </row>
    <row r="445">
      <c r="I445" s="48"/>
    </row>
    <row r="446">
      <c r="I446" s="48"/>
    </row>
    <row r="447">
      <c r="I447" s="48"/>
    </row>
    <row r="448">
      <c r="I448" s="48"/>
    </row>
    <row r="449">
      <c r="I449" s="48"/>
    </row>
    <row r="450">
      <c r="I450" s="48"/>
    </row>
    <row r="451">
      <c r="I451" s="48"/>
    </row>
    <row r="452">
      <c r="I452" s="48"/>
    </row>
    <row r="453">
      <c r="I453" s="48"/>
    </row>
    <row r="454">
      <c r="I454" s="48"/>
    </row>
    <row r="455">
      <c r="I455" s="48"/>
    </row>
    <row r="456">
      <c r="I456" s="48"/>
    </row>
    <row r="457">
      <c r="I457" s="48"/>
    </row>
    <row r="458">
      <c r="I458" s="48"/>
    </row>
    <row r="459">
      <c r="I459" s="48"/>
    </row>
    <row r="460">
      <c r="I460" s="48"/>
    </row>
    <row r="461">
      <c r="I461" s="48"/>
    </row>
    <row r="462">
      <c r="I462" s="48"/>
    </row>
    <row r="463">
      <c r="I463" s="48"/>
    </row>
    <row r="464">
      <c r="I464" s="48"/>
    </row>
    <row r="465">
      <c r="I465" s="48"/>
    </row>
    <row r="466">
      <c r="I466" s="48"/>
    </row>
    <row r="467">
      <c r="I467" s="48"/>
    </row>
    <row r="468">
      <c r="I468" s="48"/>
    </row>
    <row r="469">
      <c r="I469" s="48"/>
    </row>
    <row r="470">
      <c r="I470" s="48"/>
    </row>
    <row r="471">
      <c r="I471" s="48"/>
    </row>
    <row r="472">
      <c r="I472" s="48"/>
    </row>
    <row r="473">
      <c r="I473" s="48"/>
    </row>
    <row r="474">
      <c r="I474" s="48"/>
    </row>
    <row r="475">
      <c r="I475" s="48"/>
    </row>
    <row r="476">
      <c r="I476" s="48"/>
    </row>
    <row r="477">
      <c r="I477" s="48"/>
    </row>
    <row r="478">
      <c r="I478" s="48"/>
    </row>
    <row r="479">
      <c r="I479" s="48"/>
    </row>
    <row r="480">
      <c r="I480" s="48"/>
    </row>
    <row r="481">
      <c r="I481" s="48"/>
    </row>
    <row r="482">
      <c r="I482" s="48"/>
    </row>
    <row r="483">
      <c r="I483" s="48"/>
    </row>
    <row r="484">
      <c r="I484" s="48"/>
    </row>
    <row r="485">
      <c r="I485" s="48"/>
    </row>
    <row r="486">
      <c r="I486" s="48"/>
    </row>
    <row r="487">
      <c r="I487" s="48"/>
    </row>
    <row r="488">
      <c r="I488" s="48"/>
    </row>
    <row r="489">
      <c r="I489" s="48"/>
    </row>
    <row r="490">
      <c r="I490" s="48"/>
    </row>
    <row r="491">
      <c r="I491" s="48"/>
    </row>
    <row r="492">
      <c r="I492" s="48"/>
    </row>
    <row r="493">
      <c r="I493" s="48"/>
    </row>
    <row r="494">
      <c r="I494" s="48"/>
    </row>
    <row r="495">
      <c r="I495" s="48"/>
    </row>
    <row r="496">
      <c r="I496" s="48"/>
    </row>
    <row r="497">
      <c r="I497" s="48"/>
    </row>
    <row r="498">
      <c r="I498" s="48"/>
    </row>
    <row r="499">
      <c r="I499" s="48"/>
    </row>
    <row r="500">
      <c r="I500" s="48"/>
    </row>
    <row r="501">
      <c r="I501" s="48"/>
    </row>
    <row r="502">
      <c r="I502" s="48"/>
    </row>
    <row r="503">
      <c r="I503" s="48"/>
    </row>
    <row r="504">
      <c r="I504" s="48"/>
    </row>
    <row r="505">
      <c r="I505" s="48"/>
    </row>
    <row r="506">
      <c r="I506" s="48"/>
    </row>
    <row r="507">
      <c r="I507" s="48"/>
    </row>
    <row r="508">
      <c r="I508" s="48"/>
    </row>
    <row r="509">
      <c r="I509" s="48"/>
    </row>
    <row r="510">
      <c r="I510" s="48"/>
    </row>
    <row r="511">
      <c r="I511" s="48"/>
    </row>
    <row r="512">
      <c r="I512" s="48"/>
    </row>
    <row r="513">
      <c r="I513" s="48"/>
    </row>
    <row r="514">
      <c r="I514" s="48"/>
    </row>
    <row r="515">
      <c r="I515" s="48"/>
    </row>
    <row r="516">
      <c r="I516" s="48"/>
    </row>
    <row r="517">
      <c r="I517" s="48"/>
    </row>
    <row r="518">
      <c r="I518" s="48"/>
    </row>
    <row r="519">
      <c r="I519" s="48"/>
    </row>
    <row r="520">
      <c r="I520" s="48"/>
    </row>
    <row r="521">
      <c r="I521" s="48"/>
    </row>
    <row r="522">
      <c r="I522" s="48"/>
    </row>
    <row r="523">
      <c r="I523" s="48"/>
    </row>
    <row r="524">
      <c r="I524" s="48"/>
    </row>
    <row r="525">
      <c r="I525" s="48"/>
    </row>
    <row r="526">
      <c r="I526" s="48"/>
    </row>
    <row r="527">
      <c r="I527" s="48"/>
    </row>
    <row r="528">
      <c r="I528" s="48"/>
    </row>
    <row r="529">
      <c r="I529" s="48"/>
    </row>
    <row r="530">
      <c r="I530" s="48"/>
    </row>
    <row r="531">
      <c r="I531" s="48"/>
    </row>
    <row r="532">
      <c r="I532" s="48"/>
    </row>
    <row r="533">
      <c r="I533" s="48"/>
    </row>
    <row r="534">
      <c r="I534" s="48"/>
    </row>
    <row r="535">
      <c r="I535" s="48"/>
    </row>
    <row r="536">
      <c r="I536" s="48"/>
    </row>
    <row r="537">
      <c r="I537" s="48"/>
    </row>
    <row r="538">
      <c r="I538" s="48"/>
    </row>
    <row r="539">
      <c r="I539" s="48"/>
    </row>
    <row r="540">
      <c r="I540" s="48"/>
    </row>
    <row r="541">
      <c r="I541" s="48"/>
    </row>
    <row r="542">
      <c r="I542" s="48"/>
    </row>
    <row r="543">
      <c r="I543" s="48"/>
    </row>
    <row r="544">
      <c r="I544" s="48"/>
    </row>
    <row r="545">
      <c r="I545" s="48"/>
    </row>
    <row r="546">
      <c r="I546" s="48"/>
    </row>
    <row r="547">
      <c r="I547" s="48"/>
    </row>
    <row r="548">
      <c r="I548" s="48"/>
    </row>
    <row r="549">
      <c r="I549" s="48"/>
    </row>
    <row r="550">
      <c r="I550" s="48"/>
    </row>
    <row r="551">
      <c r="I551" s="48"/>
    </row>
    <row r="552">
      <c r="I552" s="48"/>
    </row>
    <row r="553">
      <c r="I553" s="48"/>
    </row>
    <row r="554">
      <c r="I554" s="48"/>
    </row>
    <row r="555">
      <c r="I555" s="48"/>
    </row>
    <row r="556">
      <c r="I556" s="48"/>
    </row>
    <row r="557">
      <c r="I557" s="48"/>
    </row>
    <row r="558">
      <c r="I558" s="48"/>
    </row>
    <row r="559">
      <c r="I559" s="48"/>
    </row>
    <row r="560">
      <c r="I560" s="48"/>
    </row>
    <row r="561">
      <c r="I561" s="48"/>
    </row>
    <row r="562">
      <c r="I562" s="48"/>
    </row>
    <row r="563">
      <c r="I563" s="48"/>
    </row>
    <row r="564">
      <c r="I564" s="48"/>
    </row>
    <row r="565">
      <c r="I565" s="48"/>
    </row>
    <row r="566">
      <c r="I566" s="48"/>
    </row>
    <row r="567">
      <c r="I567" s="48"/>
    </row>
    <row r="568">
      <c r="I568" s="48"/>
    </row>
    <row r="569">
      <c r="I569" s="48"/>
    </row>
    <row r="570">
      <c r="I570" s="48"/>
    </row>
    <row r="571">
      <c r="I571" s="48"/>
    </row>
    <row r="572">
      <c r="I572" s="48"/>
    </row>
    <row r="573">
      <c r="I573" s="48"/>
    </row>
    <row r="574">
      <c r="I574" s="48"/>
    </row>
    <row r="575">
      <c r="I575" s="48"/>
    </row>
    <row r="576">
      <c r="I576" s="48"/>
    </row>
    <row r="577">
      <c r="I577" s="48"/>
    </row>
    <row r="578">
      <c r="I578" s="48"/>
    </row>
    <row r="579">
      <c r="I579" s="48"/>
    </row>
    <row r="580">
      <c r="I580" s="48"/>
    </row>
    <row r="581">
      <c r="I581" s="48"/>
    </row>
    <row r="582">
      <c r="I582" s="48"/>
    </row>
    <row r="583">
      <c r="I583" s="48"/>
    </row>
    <row r="584">
      <c r="I584" s="48"/>
    </row>
    <row r="585">
      <c r="I585" s="48"/>
    </row>
    <row r="586">
      <c r="I586" s="48"/>
    </row>
    <row r="587">
      <c r="I587" s="48"/>
    </row>
    <row r="588">
      <c r="I588" s="48"/>
    </row>
    <row r="589">
      <c r="I589" s="48"/>
    </row>
    <row r="590">
      <c r="I590" s="48"/>
    </row>
    <row r="591">
      <c r="I591" s="48"/>
    </row>
    <row r="592">
      <c r="I592" s="48"/>
    </row>
    <row r="593">
      <c r="I593" s="48"/>
    </row>
    <row r="594">
      <c r="I594" s="48"/>
    </row>
    <row r="595">
      <c r="I595" s="48"/>
    </row>
    <row r="596">
      <c r="I596" s="48"/>
    </row>
    <row r="597">
      <c r="I597" s="48"/>
    </row>
    <row r="598">
      <c r="I598" s="48"/>
    </row>
    <row r="599">
      <c r="I599" s="48"/>
    </row>
    <row r="600">
      <c r="I600" s="48"/>
    </row>
    <row r="601">
      <c r="I601" s="48"/>
    </row>
    <row r="602">
      <c r="I602" s="48"/>
    </row>
    <row r="603">
      <c r="I603" s="48"/>
    </row>
    <row r="604">
      <c r="I604" s="48"/>
    </row>
    <row r="605">
      <c r="I605" s="48"/>
    </row>
    <row r="606">
      <c r="I606" s="48"/>
    </row>
    <row r="607">
      <c r="I607" s="48"/>
    </row>
    <row r="608">
      <c r="I608" s="48"/>
    </row>
    <row r="609">
      <c r="I609" s="48"/>
    </row>
    <row r="610">
      <c r="I610" s="48"/>
    </row>
    <row r="611">
      <c r="I611" s="48"/>
    </row>
    <row r="612">
      <c r="I612" s="48"/>
    </row>
    <row r="613">
      <c r="I613" s="48"/>
    </row>
    <row r="614">
      <c r="I614" s="48"/>
    </row>
    <row r="615">
      <c r="I615" s="48"/>
    </row>
    <row r="616">
      <c r="I616" s="48"/>
    </row>
    <row r="617">
      <c r="I617" s="48"/>
    </row>
    <row r="618">
      <c r="I618" s="48"/>
    </row>
    <row r="619">
      <c r="I619" s="48"/>
    </row>
    <row r="620">
      <c r="I620" s="48"/>
    </row>
    <row r="621">
      <c r="I621" s="48"/>
    </row>
    <row r="622">
      <c r="I622" s="48"/>
    </row>
    <row r="623">
      <c r="I623" s="48"/>
    </row>
    <row r="624">
      <c r="I624" s="48"/>
    </row>
    <row r="625">
      <c r="I625" s="48"/>
    </row>
    <row r="626">
      <c r="I626" s="48"/>
    </row>
    <row r="627">
      <c r="I627" s="48"/>
    </row>
    <row r="628">
      <c r="I628" s="48"/>
    </row>
    <row r="629">
      <c r="I629" s="48"/>
    </row>
    <row r="630">
      <c r="I630" s="48"/>
    </row>
    <row r="631">
      <c r="I631" s="48"/>
    </row>
    <row r="632">
      <c r="I632" s="48"/>
    </row>
    <row r="633">
      <c r="I633" s="48"/>
    </row>
    <row r="634">
      <c r="I634" s="48"/>
    </row>
    <row r="635">
      <c r="I635" s="48"/>
    </row>
    <row r="636">
      <c r="I636" s="48"/>
    </row>
    <row r="637">
      <c r="I637" s="48"/>
    </row>
    <row r="638">
      <c r="I638" s="48"/>
    </row>
    <row r="639">
      <c r="I639" s="48"/>
    </row>
    <row r="640">
      <c r="I640" s="48"/>
    </row>
    <row r="641">
      <c r="I641" s="48"/>
    </row>
    <row r="642">
      <c r="I642" s="48"/>
    </row>
    <row r="643">
      <c r="I643" s="48"/>
    </row>
    <row r="644">
      <c r="I644" s="48"/>
    </row>
    <row r="645">
      <c r="I645" s="48"/>
    </row>
    <row r="646">
      <c r="I646" s="48"/>
    </row>
    <row r="647">
      <c r="I647" s="48"/>
    </row>
    <row r="648">
      <c r="I648" s="48"/>
    </row>
    <row r="649">
      <c r="I649" s="48"/>
    </row>
    <row r="650">
      <c r="I650" s="48"/>
    </row>
    <row r="651">
      <c r="I651" s="48"/>
    </row>
    <row r="652">
      <c r="I652" s="48"/>
    </row>
    <row r="653">
      <c r="I653" s="48"/>
    </row>
    <row r="654">
      <c r="I654" s="48"/>
    </row>
    <row r="655">
      <c r="I655" s="48"/>
    </row>
    <row r="656">
      <c r="I656" s="48"/>
    </row>
    <row r="657">
      <c r="I657" s="48"/>
    </row>
    <row r="658">
      <c r="I658" s="48"/>
    </row>
    <row r="659">
      <c r="I659" s="48"/>
    </row>
    <row r="660">
      <c r="I660" s="48"/>
    </row>
    <row r="661">
      <c r="I661" s="48"/>
    </row>
    <row r="662">
      <c r="I662" s="48"/>
    </row>
    <row r="663">
      <c r="I663" s="48"/>
    </row>
    <row r="664">
      <c r="I664" s="48"/>
    </row>
    <row r="665">
      <c r="I665" s="48"/>
    </row>
    <row r="666">
      <c r="I666" s="48"/>
    </row>
    <row r="667">
      <c r="I667" s="48"/>
    </row>
    <row r="668">
      <c r="I668" s="48"/>
    </row>
    <row r="669">
      <c r="I669" s="48"/>
    </row>
    <row r="670">
      <c r="I670" s="48"/>
    </row>
    <row r="671">
      <c r="I671" s="48"/>
    </row>
    <row r="672">
      <c r="I672" s="48"/>
    </row>
    <row r="673">
      <c r="I673" s="48"/>
    </row>
    <row r="674">
      <c r="I674" s="48"/>
    </row>
    <row r="675">
      <c r="I675" s="48"/>
    </row>
    <row r="676">
      <c r="I676" s="48"/>
    </row>
    <row r="677">
      <c r="I677" s="48"/>
    </row>
    <row r="678">
      <c r="I678" s="48"/>
    </row>
    <row r="679">
      <c r="I679" s="48"/>
    </row>
    <row r="680">
      <c r="I680" s="48"/>
    </row>
    <row r="681">
      <c r="I681" s="48"/>
    </row>
    <row r="682">
      <c r="I682" s="48"/>
    </row>
    <row r="683">
      <c r="I683" s="48"/>
    </row>
    <row r="684">
      <c r="I684" s="48"/>
    </row>
    <row r="685">
      <c r="I685" s="48"/>
    </row>
    <row r="686">
      <c r="I686" s="48"/>
    </row>
    <row r="687">
      <c r="I687" s="48"/>
    </row>
    <row r="688">
      <c r="I688" s="48"/>
    </row>
    <row r="689">
      <c r="I689" s="48"/>
    </row>
    <row r="690">
      <c r="I690" s="48"/>
    </row>
    <row r="691">
      <c r="I691" s="48"/>
    </row>
    <row r="692">
      <c r="I692" s="48"/>
    </row>
    <row r="693">
      <c r="I693" s="48"/>
    </row>
    <row r="694">
      <c r="I694" s="48"/>
    </row>
    <row r="695">
      <c r="I695" s="48"/>
    </row>
    <row r="696">
      <c r="I696" s="48"/>
    </row>
    <row r="697">
      <c r="I697" s="48"/>
    </row>
    <row r="698">
      <c r="I698" s="48"/>
    </row>
    <row r="699">
      <c r="I699" s="48"/>
    </row>
    <row r="700">
      <c r="I700" s="48"/>
    </row>
    <row r="701">
      <c r="I701" s="48"/>
    </row>
    <row r="702">
      <c r="I702" s="48"/>
    </row>
    <row r="703">
      <c r="I703" s="48"/>
    </row>
    <row r="704">
      <c r="I704" s="48"/>
    </row>
    <row r="705">
      <c r="I705" s="48"/>
    </row>
    <row r="706">
      <c r="I706" s="48"/>
    </row>
    <row r="707">
      <c r="I707" s="48"/>
    </row>
    <row r="708">
      <c r="I708" s="48"/>
    </row>
    <row r="709">
      <c r="I709" s="48"/>
    </row>
    <row r="710">
      <c r="I710" s="48"/>
    </row>
    <row r="711">
      <c r="I711" s="48"/>
    </row>
    <row r="712">
      <c r="I712" s="48"/>
    </row>
    <row r="713">
      <c r="I713" s="48"/>
    </row>
    <row r="714">
      <c r="I714" s="48"/>
    </row>
    <row r="715">
      <c r="I715" s="48"/>
    </row>
    <row r="716">
      <c r="I716" s="48"/>
    </row>
    <row r="717">
      <c r="I717" s="48"/>
    </row>
    <row r="718">
      <c r="I718" s="48"/>
    </row>
    <row r="719">
      <c r="I719" s="48"/>
    </row>
    <row r="720">
      <c r="I720" s="48"/>
    </row>
    <row r="721">
      <c r="I721" s="48"/>
    </row>
    <row r="722">
      <c r="I722" s="48"/>
    </row>
    <row r="723">
      <c r="I723" s="48"/>
    </row>
    <row r="724">
      <c r="I724" s="48"/>
    </row>
    <row r="725">
      <c r="I725" s="48"/>
    </row>
    <row r="726">
      <c r="I726" s="48"/>
    </row>
    <row r="727">
      <c r="I727" s="48"/>
    </row>
    <row r="728">
      <c r="I728" s="48"/>
    </row>
    <row r="729">
      <c r="I729" s="48"/>
    </row>
    <row r="730">
      <c r="I730" s="48"/>
    </row>
    <row r="731">
      <c r="I731" s="48"/>
    </row>
    <row r="732">
      <c r="I732" s="48"/>
    </row>
    <row r="733">
      <c r="I733" s="48"/>
    </row>
    <row r="734">
      <c r="I734" s="48"/>
    </row>
    <row r="735">
      <c r="I735" s="48"/>
    </row>
    <row r="736">
      <c r="I736" s="48"/>
    </row>
    <row r="737">
      <c r="I737" s="48"/>
    </row>
    <row r="738">
      <c r="I738" s="48"/>
    </row>
    <row r="739">
      <c r="I739" s="48"/>
    </row>
    <row r="740">
      <c r="I740" s="48"/>
    </row>
    <row r="741">
      <c r="I741" s="48"/>
    </row>
    <row r="742">
      <c r="I742" s="48"/>
    </row>
    <row r="743">
      <c r="I743" s="48"/>
    </row>
    <row r="744">
      <c r="I744" s="48"/>
    </row>
    <row r="745">
      <c r="I745" s="48"/>
    </row>
    <row r="746">
      <c r="I746" s="48"/>
    </row>
    <row r="747">
      <c r="I747" s="48"/>
    </row>
    <row r="748">
      <c r="I748" s="48"/>
    </row>
    <row r="749">
      <c r="I749" s="48"/>
    </row>
    <row r="750">
      <c r="I750" s="48"/>
    </row>
    <row r="751">
      <c r="I751" s="48"/>
    </row>
    <row r="752">
      <c r="I752" s="48"/>
    </row>
    <row r="753">
      <c r="I753" s="48"/>
    </row>
    <row r="754">
      <c r="I754" s="48"/>
    </row>
    <row r="755">
      <c r="I755" s="48"/>
    </row>
    <row r="756">
      <c r="I756" s="48"/>
    </row>
    <row r="757">
      <c r="I757" s="48"/>
    </row>
    <row r="758">
      <c r="I758" s="48"/>
    </row>
    <row r="759">
      <c r="I759" s="48"/>
    </row>
    <row r="760">
      <c r="I760" s="48"/>
    </row>
    <row r="761">
      <c r="I761" s="48"/>
    </row>
    <row r="762">
      <c r="I762" s="48"/>
    </row>
    <row r="763">
      <c r="I763" s="48"/>
    </row>
    <row r="764">
      <c r="I764" s="48"/>
    </row>
    <row r="765">
      <c r="I765" s="48"/>
    </row>
    <row r="766">
      <c r="I766" s="48"/>
    </row>
    <row r="767">
      <c r="I767" s="48"/>
    </row>
    <row r="768">
      <c r="I768" s="48"/>
    </row>
    <row r="769">
      <c r="I769" s="48"/>
    </row>
    <row r="770">
      <c r="I770" s="48"/>
    </row>
    <row r="771">
      <c r="I771" s="48"/>
    </row>
    <row r="772">
      <c r="I772" s="48"/>
    </row>
    <row r="773">
      <c r="I773" s="48"/>
    </row>
    <row r="774">
      <c r="I774" s="48"/>
    </row>
    <row r="775">
      <c r="I775" s="48"/>
    </row>
    <row r="776">
      <c r="I776" s="48"/>
    </row>
    <row r="777">
      <c r="I777" s="48"/>
    </row>
    <row r="778">
      <c r="I778" s="48"/>
    </row>
    <row r="779">
      <c r="I779" s="48"/>
    </row>
    <row r="780">
      <c r="I780" s="48"/>
    </row>
    <row r="781">
      <c r="I781" s="48"/>
    </row>
    <row r="782">
      <c r="I782" s="48"/>
    </row>
    <row r="783">
      <c r="I783" s="48"/>
    </row>
    <row r="784">
      <c r="I784" s="48"/>
    </row>
    <row r="785">
      <c r="I785" s="48"/>
    </row>
    <row r="786">
      <c r="I786" s="48"/>
    </row>
    <row r="787">
      <c r="I787" s="48"/>
    </row>
    <row r="788">
      <c r="I788" s="48"/>
    </row>
    <row r="789">
      <c r="I789" s="48"/>
    </row>
    <row r="790">
      <c r="I790" s="48"/>
    </row>
    <row r="791">
      <c r="I791" s="48"/>
    </row>
    <row r="792">
      <c r="I792" s="48"/>
    </row>
    <row r="793">
      <c r="I793" s="48"/>
    </row>
    <row r="794">
      <c r="I794" s="48"/>
    </row>
    <row r="795">
      <c r="I795" s="48"/>
    </row>
    <row r="796">
      <c r="I796" s="48"/>
    </row>
    <row r="797">
      <c r="I797" s="48"/>
    </row>
    <row r="798">
      <c r="I798" s="48"/>
    </row>
    <row r="799">
      <c r="I799" s="48"/>
    </row>
    <row r="800">
      <c r="I800" s="48"/>
    </row>
    <row r="801">
      <c r="I801" s="48"/>
    </row>
    <row r="802">
      <c r="I802" s="48"/>
    </row>
    <row r="803">
      <c r="I803" s="48"/>
    </row>
    <row r="804">
      <c r="I804" s="48"/>
    </row>
    <row r="805">
      <c r="I805" s="48"/>
    </row>
    <row r="806">
      <c r="I806" s="48"/>
    </row>
    <row r="807">
      <c r="I807" s="48"/>
    </row>
    <row r="808">
      <c r="I808" s="48"/>
    </row>
    <row r="809">
      <c r="I809" s="48"/>
    </row>
    <row r="810">
      <c r="I810" s="48"/>
    </row>
    <row r="811">
      <c r="I811" s="48"/>
    </row>
    <row r="812">
      <c r="I812" s="48"/>
    </row>
    <row r="813">
      <c r="I813" s="48"/>
    </row>
    <row r="814">
      <c r="I814" s="48"/>
    </row>
    <row r="815">
      <c r="I815" s="48"/>
    </row>
    <row r="816">
      <c r="I816" s="48"/>
    </row>
    <row r="817">
      <c r="I817" s="48"/>
    </row>
    <row r="818">
      <c r="I818" s="48"/>
    </row>
    <row r="819">
      <c r="I819" s="48"/>
    </row>
    <row r="820">
      <c r="I820" s="48"/>
    </row>
    <row r="821">
      <c r="I821" s="48"/>
    </row>
    <row r="822">
      <c r="I822" s="48"/>
    </row>
    <row r="823">
      <c r="I823" s="48"/>
    </row>
    <row r="824">
      <c r="I824" s="48"/>
    </row>
    <row r="825">
      <c r="I825" s="48"/>
    </row>
    <row r="826">
      <c r="I826" s="48"/>
    </row>
    <row r="827">
      <c r="I827" s="48"/>
    </row>
    <row r="828">
      <c r="I828" s="48"/>
    </row>
    <row r="829">
      <c r="I829" s="48"/>
    </row>
    <row r="830">
      <c r="I830" s="48"/>
    </row>
    <row r="831">
      <c r="I831" s="48"/>
    </row>
    <row r="832">
      <c r="I832" s="48"/>
    </row>
    <row r="833">
      <c r="I833" s="48"/>
    </row>
    <row r="834">
      <c r="I834" s="48"/>
    </row>
    <row r="835">
      <c r="I835" s="48"/>
    </row>
    <row r="836">
      <c r="I836" s="48"/>
    </row>
    <row r="837">
      <c r="I837" s="48"/>
    </row>
    <row r="838">
      <c r="I838" s="48"/>
    </row>
    <row r="839">
      <c r="I839" s="48"/>
    </row>
    <row r="840">
      <c r="I840" s="48"/>
    </row>
    <row r="841">
      <c r="I841" s="48"/>
    </row>
    <row r="842">
      <c r="I842" s="48"/>
    </row>
    <row r="843">
      <c r="I843" s="48"/>
    </row>
    <row r="844">
      <c r="I844" s="48"/>
    </row>
    <row r="845">
      <c r="I845" s="48"/>
    </row>
    <row r="846">
      <c r="I846" s="48"/>
    </row>
    <row r="847">
      <c r="I847" s="48"/>
    </row>
    <row r="848">
      <c r="I848" s="48"/>
    </row>
    <row r="849">
      <c r="I849" s="48"/>
    </row>
    <row r="850">
      <c r="I850" s="48"/>
    </row>
    <row r="851">
      <c r="I851" s="48"/>
    </row>
    <row r="852">
      <c r="I852" s="48"/>
    </row>
    <row r="853">
      <c r="I853" s="48"/>
    </row>
    <row r="854">
      <c r="I854" s="48"/>
    </row>
    <row r="855">
      <c r="I855" s="48"/>
    </row>
    <row r="856">
      <c r="I856" s="48"/>
    </row>
    <row r="857">
      <c r="I857" s="48"/>
    </row>
    <row r="858">
      <c r="I858" s="48"/>
    </row>
    <row r="859">
      <c r="I859" s="48"/>
    </row>
    <row r="860">
      <c r="I860" s="48"/>
    </row>
    <row r="861">
      <c r="I861" s="48"/>
    </row>
    <row r="862">
      <c r="I862" s="48"/>
    </row>
    <row r="863">
      <c r="I863" s="48"/>
    </row>
    <row r="864">
      <c r="I864" s="48"/>
    </row>
    <row r="865">
      <c r="I865" s="48"/>
    </row>
    <row r="866">
      <c r="I866" s="48"/>
    </row>
    <row r="867">
      <c r="I867" s="48"/>
    </row>
    <row r="868">
      <c r="I868" s="48"/>
    </row>
    <row r="869">
      <c r="I869" s="48"/>
    </row>
    <row r="870">
      <c r="I870" s="48"/>
    </row>
    <row r="871">
      <c r="I871" s="48"/>
    </row>
    <row r="872">
      <c r="I872" s="48"/>
    </row>
    <row r="873">
      <c r="I873" s="48"/>
    </row>
    <row r="874">
      <c r="I874" s="48"/>
    </row>
    <row r="875">
      <c r="I875" s="48"/>
    </row>
    <row r="876">
      <c r="I876" s="48"/>
    </row>
    <row r="877">
      <c r="I877" s="48"/>
    </row>
    <row r="878">
      <c r="I878" s="48"/>
    </row>
    <row r="879">
      <c r="I879" s="48"/>
    </row>
    <row r="880">
      <c r="I880" s="48"/>
    </row>
    <row r="881">
      <c r="I881" s="48"/>
    </row>
    <row r="882">
      <c r="I882" s="48"/>
    </row>
    <row r="883">
      <c r="I883" s="48"/>
    </row>
    <row r="884">
      <c r="I884" s="48"/>
    </row>
    <row r="885">
      <c r="I885" s="48"/>
    </row>
    <row r="886">
      <c r="I886" s="48"/>
    </row>
    <row r="887">
      <c r="I887" s="48"/>
    </row>
    <row r="888">
      <c r="I888" s="48"/>
    </row>
    <row r="889">
      <c r="I889" s="48"/>
    </row>
    <row r="890">
      <c r="I890" s="48"/>
    </row>
    <row r="891">
      <c r="I891" s="48"/>
    </row>
    <row r="892">
      <c r="I892" s="48"/>
    </row>
    <row r="893">
      <c r="I893" s="48"/>
    </row>
    <row r="894">
      <c r="I894" s="48"/>
    </row>
    <row r="895">
      <c r="I895" s="48"/>
    </row>
    <row r="896">
      <c r="I896" s="48"/>
    </row>
    <row r="897">
      <c r="I897" s="48"/>
    </row>
    <row r="898">
      <c r="I898" s="48"/>
    </row>
    <row r="899">
      <c r="I899" s="48"/>
    </row>
    <row r="900">
      <c r="I900" s="48"/>
    </row>
    <row r="901">
      <c r="I901" s="48"/>
    </row>
    <row r="902">
      <c r="I902" s="48"/>
    </row>
    <row r="903">
      <c r="I903" s="48"/>
    </row>
    <row r="904">
      <c r="I904" s="48"/>
    </row>
    <row r="905">
      <c r="I905" s="48"/>
    </row>
    <row r="906">
      <c r="I906" s="48"/>
    </row>
    <row r="907">
      <c r="I907" s="48"/>
    </row>
    <row r="908">
      <c r="I908" s="48"/>
    </row>
    <row r="909">
      <c r="I909" s="48"/>
    </row>
    <row r="910">
      <c r="I910" s="48"/>
    </row>
    <row r="911">
      <c r="I911" s="48"/>
    </row>
    <row r="912">
      <c r="I912" s="48"/>
    </row>
    <row r="913">
      <c r="I913" s="48"/>
    </row>
    <row r="914">
      <c r="I914" s="48"/>
    </row>
    <row r="915">
      <c r="I915" s="48"/>
    </row>
    <row r="916">
      <c r="I916" s="48"/>
    </row>
    <row r="917">
      <c r="I917" s="48"/>
    </row>
    <row r="918">
      <c r="I918" s="48"/>
    </row>
    <row r="919">
      <c r="I919" s="48"/>
    </row>
    <row r="920">
      <c r="I920" s="48"/>
    </row>
    <row r="921">
      <c r="I921" s="48"/>
    </row>
    <row r="922">
      <c r="I922" s="48"/>
    </row>
    <row r="923">
      <c r="I923" s="48"/>
    </row>
    <row r="924">
      <c r="I924" s="48"/>
    </row>
    <row r="925">
      <c r="I925" s="48"/>
    </row>
    <row r="926">
      <c r="I926" s="48"/>
    </row>
    <row r="927">
      <c r="I927" s="48"/>
    </row>
    <row r="928">
      <c r="I928" s="48"/>
    </row>
    <row r="929">
      <c r="I929" s="48"/>
    </row>
    <row r="930">
      <c r="I930" s="48"/>
    </row>
    <row r="931">
      <c r="I931" s="48"/>
    </row>
    <row r="932">
      <c r="I932" s="48"/>
    </row>
    <row r="933">
      <c r="I933" s="48"/>
    </row>
    <row r="934">
      <c r="I934" s="48"/>
    </row>
    <row r="935">
      <c r="I935" s="48"/>
    </row>
    <row r="936">
      <c r="I936" s="48"/>
    </row>
    <row r="937">
      <c r="I937" s="48"/>
    </row>
    <row r="938">
      <c r="I938" s="48"/>
    </row>
    <row r="939">
      <c r="I939" s="48"/>
    </row>
    <row r="940">
      <c r="I940" s="48"/>
    </row>
    <row r="941">
      <c r="I941" s="48"/>
    </row>
    <row r="942">
      <c r="I942" s="48"/>
    </row>
    <row r="943">
      <c r="I943" s="48"/>
    </row>
    <row r="944">
      <c r="I944" s="48"/>
    </row>
    <row r="945">
      <c r="I945" s="48"/>
    </row>
    <row r="946">
      <c r="I946" s="48"/>
    </row>
    <row r="947">
      <c r="I947" s="48"/>
    </row>
    <row r="948">
      <c r="I948" s="48"/>
    </row>
    <row r="949">
      <c r="I949" s="48"/>
    </row>
    <row r="950">
      <c r="I950" s="48"/>
    </row>
    <row r="951">
      <c r="I951" s="48"/>
    </row>
    <row r="952">
      <c r="I952" s="48"/>
    </row>
    <row r="953">
      <c r="I953" s="48"/>
    </row>
    <row r="954">
      <c r="I954" s="48"/>
    </row>
    <row r="955">
      <c r="I955" s="48"/>
    </row>
    <row r="956">
      <c r="I956" s="48"/>
    </row>
    <row r="957">
      <c r="I957" s="48"/>
    </row>
    <row r="958">
      <c r="I958" s="48"/>
    </row>
    <row r="959">
      <c r="I959" s="48"/>
    </row>
    <row r="960">
      <c r="I960" s="48"/>
    </row>
    <row r="961">
      <c r="I961" s="48"/>
    </row>
    <row r="962">
      <c r="I962" s="48"/>
    </row>
    <row r="963">
      <c r="I963" s="48"/>
    </row>
    <row r="964">
      <c r="I964" s="48"/>
    </row>
    <row r="965">
      <c r="I965" s="48"/>
    </row>
    <row r="966">
      <c r="I966" s="48"/>
    </row>
    <row r="967">
      <c r="I967" s="48"/>
    </row>
    <row r="968">
      <c r="I968" s="48"/>
    </row>
    <row r="969">
      <c r="I969" s="48"/>
    </row>
    <row r="970">
      <c r="I970" s="48"/>
    </row>
    <row r="971">
      <c r="I971" s="48"/>
    </row>
    <row r="972">
      <c r="I972" s="48"/>
    </row>
    <row r="973">
      <c r="I973" s="48"/>
    </row>
    <row r="974">
      <c r="I974" s="48"/>
    </row>
    <row r="975">
      <c r="I975" s="48"/>
    </row>
  </sheetData>
  <mergeCells count="1">
    <mergeCell ref="D1:G1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3.38"/>
    <col customWidth="1" min="3" max="3" width="74.0"/>
    <col customWidth="1" min="4" max="4" width="22.5"/>
    <col customWidth="1" min="5" max="5" width="51.38"/>
    <col customWidth="1" min="6" max="6" width="9.38"/>
    <col customWidth="1" min="7" max="7" width="16.13"/>
    <col customWidth="1" min="8" max="8" width="20.0"/>
  </cols>
  <sheetData>
    <row r="1">
      <c r="A1" s="1"/>
      <c r="B1" s="1"/>
      <c r="C1" s="3" t="s">
        <v>716</v>
      </c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/>
      <c r="B2" s="7"/>
      <c r="C2" s="9"/>
      <c r="D2" s="9"/>
      <c r="E2" s="9"/>
      <c r="F2" s="9"/>
      <c r="G2" s="9"/>
      <c r="H2" s="5"/>
    </row>
    <row r="3">
      <c r="A3" s="10"/>
      <c r="B3" s="11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3" t="s">
        <v>6</v>
      </c>
      <c r="H3" s="14" t="s">
        <v>7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16">
        <v>1.0</v>
      </c>
      <c r="B4" s="17" t="s">
        <v>717</v>
      </c>
      <c r="C4" s="18" t="s">
        <v>718</v>
      </c>
      <c r="D4" s="51" t="s">
        <v>719</v>
      </c>
      <c r="E4" s="20" t="s">
        <v>720</v>
      </c>
      <c r="F4" s="21">
        <v>217.0</v>
      </c>
      <c r="G4" s="22">
        <v>1.0</v>
      </c>
      <c r="H4" s="23">
        <v>1494.0</v>
      </c>
    </row>
    <row r="5" ht="13.5" customHeight="1">
      <c r="A5" s="16">
        <v>5.0</v>
      </c>
      <c r="B5" s="17" t="s">
        <v>721</v>
      </c>
      <c r="C5" s="24" t="s">
        <v>722</v>
      </c>
      <c r="D5" s="33" t="s">
        <v>723</v>
      </c>
      <c r="E5" s="32" t="s">
        <v>724</v>
      </c>
      <c r="F5" s="27">
        <v>1828.0</v>
      </c>
      <c r="G5" s="28">
        <v>3.0</v>
      </c>
      <c r="H5" s="29" t="s">
        <v>725</v>
      </c>
    </row>
    <row r="6" ht="37.5" customHeight="1">
      <c r="A6" s="16">
        <v>2.0</v>
      </c>
      <c r="B6" s="17" t="s">
        <v>726</v>
      </c>
      <c r="C6" s="193" t="s">
        <v>727</v>
      </c>
      <c r="D6" s="33" t="s">
        <v>728</v>
      </c>
      <c r="E6" s="26" t="s">
        <v>729</v>
      </c>
      <c r="F6" s="27">
        <v>334.0</v>
      </c>
      <c r="G6" s="28">
        <v>1.0</v>
      </c>
      <c r="H6" s="29">
        <v>1498.0</v>
      </c>
    </row>
    <row r="7">
      <c r="A7" s="16">
        <v>6.0</v>
      </c>
      <c r="B7" s="17" t="s">
        <v>730</v>
      </c>
      <c r="C7" s="24" t="s">
        <v>731</v>
      </c>
      <c r="D7" s="31" t="s">
        <v>732</v>
      </c>
      <c r="E7" s="32" t="s">
        <v>733</v>
      </c>
      <c r="F7" s="27">
        <v>666.0</v>
      </c>
      <c r="G7" s="28">
        <v>2.0</v>
      </c>
      <c r="H7" s="29" t="s">
        <v>734</v>
      </c>
    </row>
    <row r="8">
      <c r="A8" s="16">
        <v>3.0</v>
      </c>
      <c r="B8" s="17" t="s">
        <v>735</v>
      </c>
      <c r="C8" s="30" t="s">
        <v>736</v>
      </c>
      <c r="D8" s="31" t="s">
        <v>737</v>
      </c>
      <c r="E8" s="26" t="s">
        <v>738</v>
      </c>
      <c r="F8" s="27">
        <v>945.0</v>
      </c>
      <c r="G8" s="28">
        <v>2.0</v>
      </c>
      <c r="H8" s="29" t="s">
        <v>739</v>
      </c>
    </row>
    <row r="9">
      <c r="A9" s="16">
        <v>7.0</v>
      </c>
      <c r="B9" s="17" t="s">
        <v>740</v>
      </c>
      <c r="C9" s="24" t="s">
        <v>741</v>
      </c>
      <c r="D9" s="33" t="s">
        <v>742</v>
      </c>
      <c r="E9" s="32" t="s">
        <v>743</v>
      </c>
      <c r="F9" s="27">
        <v>1906.0</v>
      </c>
      <c r="G9" s="28">
        <v>4.0</v>
      </c>
      <c r="H9" s="29" t="s">
        <v>744</v>
      </c>
    </row>
    <row r="10">
      <c r="A10" s="16">
        <v>4.0</v>
      </c>
      <c r="B10" s="17" t="s">
        <v>745</v>
      </c>
      <c r="C10" s="30" t="s">
        <v>746</v>
      </c>
      <c r="D10" s="31" t="s">
        <v>747</v>
      </c>
      <c r="E10" s="26" t="s">
        <v>748</v>
      </c>
      <c r="F10" s="27">
        <v>373.0</v>
      </c>
      <c r="G10" s="28">
        <v>1.0</v>
      </c>
      <c r="H10" s="29">
        <v>1507.0</v>
      </c>
    </row>
    <row r="11">
      <c r="A11" s="16">
        <v>8.0</v>
      </c>
      <c r="B11" s="16"/>
      <c r="C11" s="24"/>
      <c r="D11" s="33"/>
      <c r="E11" s="32"/>
      <c r="F11" s="27"/>
      <c r="G11" s="28"/>
      <c r="H11" s="29"/>
    </row>
    <row r="12">
      <c r="A12" s="16">
        <v>9.0</v>
      </c>
      <c r="B12" s="16"/>
      <c r="C12" s="24"/>
      <c r="D12" s="33"/>
      <c r="E12" s="32"/>
      <c r="F12" s="27"/>
      <c r="G12" s="28"/>
      <c r="H12" s="29"/>
    </row>
    <row r="13">
      <c r="A13" s="16">
        <v>10.0</v>
      </c>
      <c r="B13" s="16"/>
      <c r="C13" s="24"/>
      <c r="D13" s="33"/>
      <c r="E13" s="32"/>
      <c r="F13" s="27"/>
      <c r="G13" s="28"/>
      <c r="H13" s="29"/>
    </row>
    <row r="14">
      <c r="A14" s="16">
        <v>11.0</v>
      </c>
      <c r="B14" s="16"/>
      <c r="C14" s="24"/>
      <c r="D14" s="33"/>
      <c r="E14" s="32"/>
      <c r="F14" s="27"/>
      <c r="G14" s="28"/>
      <c r="H14" s="29"/>
    </row>
    <row r="15">
      <c r="A15" s="16">
        <v>12.0</v>
      </c>
      <c r="B15" s="16"/>
      <c r="C15" s="24"/>
      <c r="D15" s="33"/>
      <c r="E15" s="32"/>
      <c r="F15" s="27"/>
      <c r="G15" s="28"/>
      <c r="H15" s="29"/>
    </row>
    <row r="16">
      <c r="A16" s="16">
        <v>13.0</v>
      </c>
      <c r="B16" s="16"/>
      <c r="C16" s="24"/>
      <c r="D16" s="33"/>
      <c r="E16" s="32"/>
      <c r="F16" s="27"/>
      <c r="G16" s="28"/>
      <c r="H16" s="29"/>
    </row>
    <row r="17">
      <c r="A17" s="16">
        <v>14.0</v>
      </c>
      <c r="B17" s="16"/>
      <c r="C17" s="24"/>
      <c r="D17" s="33"/>
      <c r="E17" s="32"/>
      <c r="F17" s="27"/>
      <c r="G17" s="28"/>
      <c r="H17" s="29"/>
    </row>
    <row r="18">
      <c r="A18" s="16">
        <v>15.0</v>
      </c>
      <c r="B18" s="16"/>
      <c r="C18" s="24"/>
      <c r="D18" s="33"/>
      <c r="E18" s="32"/>
      <c r="F18" s="27"/>
      <c r="G18" s="28"/>
      <c r="H18" s="29"/>
    </row>
    <row r="19">
      <c r="A19" s="16">
        <v>16.0</v>
      </c>
      <c r="B19" s="16"/>
      <c r="C19" s="24"/>
      <c r="D19" s="33"/>
      <c r="E19" s="32"/>
      <c r="F19" s="27"/>
      <c r="G19" s="28"/>
      <c r="H19" s="35"/>
    </row>
    <row r="20">
      <c r="A20" s="16">
        <v>17.0</v>
      </c>
      <c r="B20" s="16"/>
      <c r="C20" s="24"/>
      <c r="D20" s="33"/>
      <c r="E20" s="32"/>
      <c r="F20" s="189"/>
      <c r="G20" s="190"/>
      <c r="H20" s="191"/>
    </row>
    <row r="21">
      <c r="A21" s="16">
        <v>18.0</v>
      </c>
      <c r="B21" s="16"/>
      <c r="C21" s="30"/>
      <c r="D21" s="31"/>
      <c r="E21" s="26"/>
      <c r="F21" s="189"/>
      <c r="G21" s="190"/>
      <c r="H21" s="191"/>
    </row>
    <row r="22">
      <c r="A22" s="16">
        <v>18.0</v>
      </c>
      <c r="B22" s="16"/>
      <c r="C22" s="24"/>
      <c r="D22" s="33"/>
      <c r="E22" s="32"/>
      <c r="F22" s="27"/>
      <c r="G22" s="28"/>
      <c r="H22" s="29"/>
    </row>
    <row r="23">
      <c r="A23" s="16">
        <v>20.0</v>
      </c>
      <c r="B23" s="16"/>
      <c r="C23" s="24"/>
      <c r="D23" s="33"/>
      <c r="E23" s="32"/>
      <c r="F23" s="27"/>
      <c r="G23" s="28"/>
      <c r="H23" s="35"/>
    </row>
    <row r="24">
      <c r="A24" s="16">
        <v>21.0</v>
      </c>
      <c r="B24" s="16"/>
      <c r="C24" s="24"/>
      <c r="D24" s="33"/>
      <c r="E24" s="32"/>
      <c r="F24" s="27"/>
      <c r="G24" s="28"/>
      <c r="H24" s="29"/>
    </row>
    <row r="25">
      <c r="A25" s="16">
        <v>22.0</v>
      </c>
      <c r="B25" s="16"/>
      <c r="C25" s="24"/>
      <c r="D25" s="33"/>
      <c r="E25" s="32"/>
      <c r="F25" s="27"/>
      <c r="G25" s="28"/>
      <c r="H25" s="29"/>
    </row>
    <row r="26">
      <c r="A26" s="16">
        <v>23.0</v>
      </c>
      <c r="B26" s="16"/>
      <c r="C26" s="24"/>
      <c r="D26" s="33"/>
      <c r="E26" s="32"/>
      <c r="F26" s="27"/>
      <c r="G26" s="28"/>
      <c r="H26" s="29"/>
    </row>
    <row r="27">
      <c r="A27" s="16">
        <v>24.0</v>
      </c>
      <c r="B27" s="16"/>
      <c r="C27" s="24"/>
      <c r="D27" s="33"/>
      <c r="E27" s="32"/>
      <c r="F27" s="27"/>
      <c r="G27" s="28"/>
      <c r="H27" s="35"/>
    </row>
    <row r="28">
      <c r="A28" s="16">
        <v>25.0</v>
      </c>
      <c r="B28" s="16"/>
      <c r="C28" s="24"/>
      <c r="D28" s="33"/>
      <c r="E28" s="32"/>
      <c r="F28" s="27"/>
      <c r="G28" s="28"/>
      <c r="H28" s="29"/>
    </row>
    <row r="29">
      <c r="A29" s="16">
        <v>26.0</v>
      </c>
      <c r="B29" s="16"/>
      <c r="C29" s="24"/>
      <c r="D29" s="33"/>
      <c r="E29" s="32"/>
      <c r="F29" s="27"/>
      <c r="G29" s="28"/>
      <c r="H29" s="35"/>
    </row>
    <row r="30">
      <c r="A30" s="40"/>
      <c r="B30" s="40"/>
      <c r="C30" s="42"/>
      <c r="D30" s="42"/>
      <c r="E30" s="42"/>
      <c r="F30" s="43">
        <f t="shared" ref="F30:G30" si="1">SUM(F4:F29)</f>
        <v>6269</v>
      </c>
      <c r="G30" s="44">
        <f t="shared" si="1"/>
        <v>14</v>
      </c>
      <c r="H30" s="45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</row>
    <row r="31">
      <c r="H31" s="48"/>
    </row>
    <row r="32">
      <c r="H32" s="48"/>
    </row>
    <row r="33">
      <c r="H33" s="48"/>
    </row>
    <row r="34">
      <c r="H34" s="48"/>
    </row>
    <row r="35">
      <c r="H35" s="48"/>
    </row>
    <row r="36">
      <c r="H36" s="48"/>
    </row>
    <row r="37">
      <c r="H37" s="48"/>
    </row>
    <row r="38">
      <c r="H38" s="48"/>
    </row>
    <row r="39">
      <c r="H39" s="48"/>
    </row>
    <row r="40">
      <c r="H40" s="48"/>
    </row>
    <row r="41">
      <c r="H41" s="48"/>
    </row>
    <row r="42">
      <c r="H42" s="48"/>
    </row>
    <row r="43">
      <c r="H43" s="48"/>
    </row>
    <row r="44">
      <c r="H44" s="48"/>
    </row>
    <row r="45">
      <c r="H45" s="48"/>
    </row>
    <row r="46">
      <c r="H46" s="48"/>
    </row>
    <row r="47">
      <c r="H47" s="48"/>
    </row>
    <row r="48">
      <c r="H48" s="48"/>
    </row>
    <row r="49">
      <c r="H49" s="48"/>
    </row>
    <row r="50">
      <c r="H50" s="48"/>
    </row>
    <row r="51">
      <c r="H51" s="48"/>
    </row>
    <row r="52">
      <c r="H52" s="48"/>
    </row>
    <row r="53">
      <c r="H53" s="48"/>
    </row>
    <row r="54">
      <c r="H54" s="48"/>
    </row>
    <row r="55">
      <c r="H55" s="48"/>
    </row>
    <row r="56">
      <c r="H56" s="48"/>
    </row>
    <row r="57">
      <c r="H57" s="48"/>
    </row>
    <row r="58">
      <c r="H58" s="48"/>
    </row>
    <row r="59">
      <c r="H59" s="48"/>
    </row>
    <row r="60">
      <c r="H60" s="48"/>
    </row>
    <row r="61">
      <c r="H61" s="48"/>
    </row>
    <row r="62">
      <c r="H62" s="48"/>
    </row>
    <row r="63">
      <c r="H63" s="48"/>
    </row>
    <row r="64">
      <c r="H64" s="48"/>
    </row>
    <row r="65">
      <c r="H65" s="48"/>
    </row>
    <row r="66">
      <c r="H66" s="48"/>
    </row>
    <row r="67">
      <c r="H67" s="48"/>
    </row>
    <row r="68">
      <c r="H68" s="48"/>
    </row>
    <row r="69">
      <c r="H69" s="48"/>
    </row>
    <row r="70">
      <c r="H70" s="48"/>
    </row>
    <row r="71">
      <c r="H71" s="48"/>
    </row>
    <row r="72">
      <c r="H72" s="48"/>
    </row>
    <row r="73">
      <c r="H73" s="48"/>
    </row>
    <row r="74">
      <c r="H74" s="48"/>
    </row>
    <row r="75">
      <c r="H75" s="48"/>
    </row>
    <row r="76">
      <c r="H76" s="48"/>
    </row>
    <row r="77">
      <c r="H77" s="48"/>
    </row>
    <row r="78">
      <c r="H78" s="48"/>
    </row>
    <row r="79">
      <c r="H79" s="48"/>
    </row>
    <row r="80">
      <c r="H80" s="48"/>
    </row>
    <row r="81">
      <c r="H81" s="48"/>
    </row>
    <row r="82">
      <c r="H82" s="48"/>
    </row>
    <row r="83">
      <c r="H83" s="48"/>
    </row>
    <row r="84">
      <c r="H84" s="48"/>
    </row>
    <row r="85">
      <c r="H85" s="48"/>
    </row>
    <row r="86">
      <c r="H86" s="48"/>
    </row>
    <row r="87">
      <c r="H87" s="48"/>
    </row>
    <row r="88">
      <c r="H88" s="48"/>
    </row>
    <row r="89">
      <c r="H89" s="48"/>
    </row>
    <row r="90">
      <c r="H90" s="48"/>
    </row>
    <row r="91">
      <c r="H91" s="48"/>
    </row>
    <row r="92">
      <c r="H92" s="48"/>
    </row>
    <row r="93">
      <c r="H93" s="48"/>
    </row>
    <row r="94">
      <c r="H94" s="48"/>
    </row>
    <row r="95">
      <c r="H95" s="48"/>
    </row>
    <row r="96">
      <c r="H96" s="48"/>
    </row>
    <row r="97">
      <c r="H97" s="48"/>
    </row>
    <row r="98">
      <c r="H98" s="48"/>
    </row>
    <row r="99">
      <c r="H99" s="48"/>
    </row>
    <row r="100">
      <c r="H100" s="48"/>
    </row>
    <row r="101">
      <c r="H101" s="48"/>
    </row>
    <row r="102">
      <c r="H102" s="48"/>
    </row>
    <row r="103">
      <c r="H103" s="48"/>
    </row>
    <row r="104">
      <c r="H104" s="48"/>
    </row>
    <row r="105">
      <c r="H105" s="48"/>
    </row>
    <row r="106">
      <c r="H106" s="48"/>
    </row>
    <row r="107">
      <c r="H107" s="48"/>
    </row>
    <row r="108">
      <c r="H108" s="48"/>
    </row>
    <row r="109">
      <c r="H109" s="48"/>
    </row>
    <row r="110">
      <c r="H110" s="48"/>
    </row>
    <row r="111">
      <c r="H111" s="48"/>
    </row>
    <row r="112">
      <c r="H112" s="48"/>
    </row>
    <row r="113">
      <c r="H113" s="48"/>
    </row>
    <row r="114">
      <c r="H114" s="48"/>
    </row>
    <row r="115">
      <c r="H115" s="48"/>
    </row>
    <row r="116">
      <c r="H116" s="48"/>
    </row>
    <row r="117">
      <c r="H117" s="48"/>
    </row>
    <row r="118">
      <c r="H118" s="48"/>
    </row>
    <row r="119">
      <c r="H119" s="48"/>
    </row>
    <row r="120">
      <c r="H120" s="48"/>
    </row>
    <row r="121">
      <c r="H121" s="48"/>
    </row>
    <row r="122">
      <c r="H122" s="48"/>
    </row>
    <row r="123">
      <c r="H123" s="48"/>
    </row>
    <row r="124">
      <c r="H124" s="48"/>
    </row>
    <row r="125">
      <c r="H125" s="48"/>
    </row>
    <row r="126">
      <c r="H126" s="48"/>
    </row>
    <row r="127">
      <c r="H127" s="48"/>
    </row>
    <row r="128">
      <c r="H128" s="48"/>
    </row>
    <row r="129">
      <c r="H129" s="48"/>
    </row>
    <row r="130">
      <c r="H130" s="48"/>
    </row>
    <row r="131">
      <c r="H131" s="48"/>
    </row>
    <row r="132">
      <c r="H132" s="48"/>
    </row>
    <row r="133">
      <c r="H133" s="48"/>
    </row>
    <row r="134">
      <c r="H134" s="48"/>
    </row>
    <row r="135">
      <c r="H135" s="48"/>
    </row>
    <row r="136">
      <c r="H136" s="48"/>
    </row>
    <row r="137">
      <c r="H137" s="48"/>
    </row>
    <row r="138">
      <c r="H138" s="48"/>
    </row>
    <row r="139">
      <c r="H139" s="48"/>
    </row>
    <row r="140">
      <c r="H140" s="48"/>
    </row>
    <row r="141">
      <c r="H141" s="48"/>
    </row>
    <row r="142">
      <c r="H142" s="48"/>
    </row>
    <row r="143">
      <c r="H143" s="48"/>
    </row>
    <row r="144">
      <c r="H144" s="48"/>
    </row>
    <row r="145">
      <c r="H145" s="48"/>
    </row>
    <row r="146">
      <c r="H146" s="48"/>
    </row>
    <row r="147">
      <c r="H147" s="48"/>
    </row>
    <row r="148">
      <c r="H148" s="48"/>
    </row>
    <row r="149">
      <c r="H149" s="48"/>
    </row>
    <row r="150">
      <c r="H150" s="48"/>
    </row>
    <row r="151">
      <c r="H151" s="48"/>
    </row>
    <row r="152">
      <c r="H152" s="48"/>
    </row>
    <row r="153">
      <c r="H153" s="48"/>
    </row>
    <row r="154">
      <c r="H154" s="48"/>
    </row>
    <row r="155">
      <c r="H155" s="48"/>
    </row>
    <row r="156">
      <c r="H156" s="48"/>
    </row>
    <row r="157">
      <c r="H157" s="48"/>
    </row>
    <row r="158">
      <c r="H158" s="48"/>
    </row>
    <row r="159">
      <c r="H159" s="48"/>
    </row>
    <row r="160">
      <c r="H160" s="48"/>
    </row>
    <row r="161">
      <c r="H161" s="48"/>
    </row>
    <row r="162">
      <c r="H162" s="48"/>
    </row>
    <row r="163">
      <c r="H163" s="48"/>
    </row>
    <row r="164">
      <c r="H164" s="48"/>
    </row>
    <row r="165">
      <c r="H165" s="48"/>
    </row>
    <row r="166">
      <c r="H166" s="48"/>
    </row>
    <row r="167">
      <c r="H167" s="48"/>
    </row>
    <row r="168">
      <c r="H168" s="48"/>
    </row>
    <row r="169">
      <c r="H169" s="48"/>
    </row>
    <row r="170">
      <c r="H170" s="48"/>
    </row>
    <row r="171">
      <c r="H171" s="48"/>
    </row>
    <row r="172">
      <c r="H172" s="48"/>
    </row>
    <row r="173">
      <c r="H173" s="48"/>
    </row>
    <row r="174">
      <c r="H174" s="48"/>
    </row>
    <row r="175">
      <c r="H175" s="48"/>
    </row>
    <row r="176">
      <c r="H176" s="48"/>
    </row>
    <row r="177">
      <c r="H177" s="48"/>
    </row>
    <row r="178">
      <c r="H178" s="48"/>
    </row>
    <row r="179">
      <c r="H179" s="48"/>
    </row>
    <row r="180">
      <c r="H180" s="48"/>
    </row>
    <row r="181">
      <c r="H181" s="48"/>
    </row>
    <row r="182">
      <c r="H182" s="48"/>
    </row>
    <row r="183">
      <c r="H183" s="48"/>
    </row>
    <row r="184">
      <c r="H184" s="48"/>
    </row>
    <row r="185">
      <c r="H185" s="48"/>
    </row>
    <row r="186">
      <c r="H186" s="48"/>
    </row>
    <row r="187">
      <c r="H187" s="48"/>
    </row>
    <row r="188">
      <c r="H188" s="48"/>
    </row>
    <row r="189">
      <c r="H189" s="48"/>
    </row>
    <row r="190">
      <c r="H190" s="48"/>
    </row>
    <row r="191">
      <c r="H191" s="48"/>
    </row>
    <row r="192">
      <c r="H192" s="48"/>
    </row>
    <row r="193">
      <c r="H193" s="48"/>
    </row>
    <row r="194">
      <c r="H194" s="48"/>
    </row>
    <row r="195">
      <c r="H195" s="48"/>
    </row>
    <row r="196">
      <c r="H196" s="48"/>
    </row>
    <row r="197">
      <c r="H197" s="48"/>
    </row>
    <row r="198">
      <c r="H198" s="48"/>
    </row>
    <row r="199">
      <c r="H199" s="48"/>
    </row>
    <row r="200">
      <c r="H200" s="48"/>
    </row>
    <row r="201">
      <c r="H201" s="48"/>
    </row>
    <row r="202">
      <c r="H202" s="48"/>
    </row>
    <row r="203">
      <c r="H203" s="48"/>
    </row>
    <row r="204">
      <c r="H204" s="48"/>
    </row>
    <row r="205">
      <c r="H205" s="48"/>
    </row>
    <row r="206">
      <c r="H206" s="48"/>
    </row>
    <row r="207">
      <c r="H207" s="48"/>
    </row>
    <row r="208">
      <c r="H208" s="48"/>
    </row>
    <row r="209">
      <c r="H209" s="48"/>
    </row>
    <row r="210">
      <c r="H210" s="48"/>
    </row>
    <row r="211">
      <c r="H211" s="48"/>
    </row>
    <row r="212">
      <c r="H212" s="48"/>
    </row>
    <row r="213">
      <c r="H213" s="48"/>
    </row>
    <row r="214">
      <c r="H214" s="48"/>
    </row>
    <row r="215">
      <c r="H215" s="48"/>
    </row>
    <row r="216">
      <c r="H216" s="48"/>
    </row>
    <row r="217">
      <c r="H217" s="48"/>
    </row>
    <row r="218">
      <c r="H218" s="48"/>
    </row>
    <row r="219">
      <c r="H219" s="48"/>
    </row>
    <row r="220">
      <c r="H220" s="48"/>
    </row>
    <row r="221">
      <c r="H221" s="48"/>
    </row>
    <row r="222">
      <c r="H222" s="48"/>
    </row>
    <row r="223">
      <c r="H223" s="48"/>
    </row>
    <row r="224">
      <c r="H224" s="48"/>
    </row>
    <row r="225">
      <c r="H225" s="48"/>
    </row>
    <row r="226">
      <c r="H226" s="48"/>
    </row>
    <row r="227">
      <c r="H227" s="48"/>
    </row>
    <row r="228">
      <c r="H228" s="48"/>
    </row>
    <row r="229">
      <c r="H229" s="48"/>
    </row>
    <row r="230">
      <c r="H230" s="48"/>
    </row>
    <row r="231">
      <c r="H231" s="48"/>
    </row>
    <row r="232">
      <c r="H232" s="48"/>
    </row>
    <row r="233">
      <c r="H233" s="48"/>
    </row>
    <row r="234">
      <c r="H234" s="48"/>
    </row>
    <row r="235">
      <c r="H235" s="48"/>
    </row>
    <row r="236">
      <c r="H236" s="48"/>
    </row>
    <row r="237">
      <c r="H237" s="48"/>
    </row>
    <row r="238">
      <c r="H238" s="48"/>
    </row>
    <row r="239">
      <c r="H239" s="48"/>
    </row>
    <row r="240">
      <c r="H240" s="48"/>
    </row>
    <row r="241">
      <c r="H241" s="48"/>
    </row>
    <row r="242">
      <c r="H242" s="48"/>
    </row>
    <row r="243">
      <c r="H243" s="48"/>
    </row>
    <row r="244">
      <c r="H244" s="48"/>
    </row>
    <row r="245">
      <c r="H245" s="48"/>
    </row>
    <row r="246">
      <c r="H246" s="48"/>
    </row>
    <row r="247">
      <c r="H247" s="48"/>
    </row>
    <row r="248">
      <c r="H248" s="48"/>
    </row>
    <row r="249">
      <c r="H249" s="48"/>
    </row>
    <row r="250">
      <c r="H250" s="48"/>
    </row>
    <row r="251">
      <c r="H251" s="48"/>
    </row>
    <row r="252">
      <c r="H252" s="48"/>
    </row>
    <row r="253">
      <c r="H253" s="48"/>
    </row>
    <row r="254">
      <c r="H254" s="48"/>
    </row>
    <row r="255">
      <c r="H255" s="48"/>
    </row>
    <row r="256">
      <c r="H256" s="48"/>
    </row>
    <row r="257">
      <c r="H257" s="48"/>
    </row>
    <row r="258">
      <c r="H258" s="48"/>
    </row>
    <row r="259">
      <c r="H259" s="48"/>
    </row>
    <row r="260">
      <c r="H260" s="48"/>
    </row>
    <row r="261">
      <c r="H261" s="48"/>
    </row>
    <row r="262">
      <c r="H262" s="48"/>
    </row>
    <row r="263">
      <c r="H263" s="48"/>
    </row>
    <row r="264">
      <c r="H264" s="48"/>
    </row>
    <row r="265">
      <c r="H265" s="48"/>
    </row>
    <row r="266">
      <c r="H266" s="48"/>
    </row>
    <row r="267">
      <c r="H267" s="48"/>
    </row>
    <row r="268">
      <c r="H268" s="48"/>
    </row>
    <row r="269">
      <c r="H269" s="48"/>
    </row>
    <row r="270">
      <c r="H270" s="48"/>
    </row>
    <row r="271">
      <c r="H271" s="48"/>
    </row>
    <row r="272">
      <c r="H272" s="48"/>
    </row>
    <row r="273">
      <c r="H273" s="48"/>
    </row>
    <row r="274">
      <c r="H274" s="48"/>
    </row>
    <row r="275">
      <c r="H275" s="48"/>
    </row>
    <row r="276">
      <c r="H276" s="48"/>
    </row>
    <row r="277">
      <c r="H277" s="48"/>
    </row>
    <row r="278">
      <c r="H278" s="48"/>
    </row>
    <row r="279">
      <c r="H279" s="48"/>
    </row>
    <row r="280">
      <c r="H280" s="48"/>
    </row>
    <row r="281">
      <c r="H281" s="48"/>
    </row>
    <row r="282">
      <c r="H282" s="48"/>
    </row>
    <row r="283">
      <c r="H283" s="48"/>
    </row>
    <row r="284">
      <c r="H284" s="48"/>
    </row>
    <row r="285">
      <c r="H285" s="48"/>
    </row>
    <row r="286">
      <c r="H286" s="48"/>
    </row>
    <row r="287">
      <c r="H287" s="48"/>
    </row>
    <row r="288">
      <c r="H288" s="48"/>
    </row>
    <row r="289">
      <c r="H289" s="48"/>
    </row>
    <row r="290">
      <c r="H290" s="48"/>
    </row>
    <row r="291">
      <c r="H291" s="48"/>
    </row>
    <row r="292">
      <c r="H292" s="48"/>
    </row>
    <row r="293">
      <c r="H293" s="48"/>
    </row>
    <row r="294">
      <c r="H294" s="48"/>
    </row>
    <row r="295">
      <c r="H295" s="48"/>
    </row>
    <row r="296">
      <c r="H296" s="48"/>
    </row>
    <row r="297">
      <c r="H297" s="48"/>
    </row>
    <row r="298">
      <c r="H298" s="48"/>
    </row>
    <row r="299">
      <c r="H299" s="48"/>
    </row>
    <row r="300">
      <c r="H300" s="48"/>
    </row>
    <row r="301">
      <c r="H301" s="48"/>
    </row>
    <row r="302">
      <c r="H302" s="48"/>
    </row>
    <row r="303">
      <c r="H303" s="48"/>
    </row>
    <row r="304">
      <c r="H304" s="48"/>
    </row>
    <row r="305">
      <c r="H305" s="48"/>
    </row>
    <row r="306">
      <c r="H306" s="48"/>
    </row>
    <row r="307">
      <c r="H307" s="48"/>
    </row>
    <row r="308">
      <c r="H308" s="48"/>
    </row>
    <row r="309">
      <c r="H309" s="48"/>
    </row>
    <row r="310">
      <c r="H310" s="48"/>
    </row>
    <row r="311">
      <c r="H311" s="48"/>
    </row>
    <row r="312">
      <c r="H312" s="48"/>
    </row>
    <row r="313">
      <c r="H313" s="48"/>
    </row>
    <row r="314">
      <c r="H314" s="48"/>
    </row>
    <row r="315">
      <c r="H315" s="48"/>
    </row>
    <row r="316">
      <c r="H316" s="48"/>
    </row>
    <row r="317">
      <c r="H317" s="48"/>
    </row>
    <row r="318">
      <c r="H318" s="48"/>
    </row>
    <row r="319">
      <c r="H319" s="48"/>
    </row>
    <row r="320">
      <c r="H320" s="48"/>
    </row>
    <row r="321">
      <c r="H321" s="48"/>
    </row>
    <row r="322">
      <c r="H322" s="48"/>
    </row>
    <row r="323">
      <c r="H323" s="48"/>
    </row>
    <row r="324">
      <c r="H324" s="48"/>
    </row>
    <row r="325">
      <c r="H325" s="48"/>
    </row>
    <row r="326">
      <c r="H326" s="48"/>
    </row>
    <row r="327">
      <c r="H327" s="48"/>
    </row>
    <row r="328">
      <c r="H328" s="48"/>
    </row>
    <row r="329">
      <c r="H329" s="48"/>
    </row>
    <row r="330">
      <c r="H330" s="48"/>
    </row>
    <row r="331">
      <c r="H331" s="48"/>
    </row>
    <row r="332">
      <c r="H332" s="48"/>
    </row>
    <row r="333">
      <c r="H333" s="48"/>
    </row>
    <row r="334">
      <c r="H334" s="48"/>
    </row>
    <row r="335">
      <c r="H335" s="48"/>
    </row>
    <row r="336">
      <c r="H336" s="48"/>
    </row>
    <row r="337">
      <c r="H337" s="48"/>
    </row>
    <row r="338">
      <c r="H338" s="48"/>
    </row>
    <row r="339">
      <c r="H339" s="48"/>
    </row>
    <row r="340">
      <c r="H340" s="48"/>
    </row>
    <row r="341">
      <c r="H341" s="48"/>
    </row>
    <row r="342">
      <c r="H342" s="48"/>
    </row>
    <row r="343">
      <c r="H343" s="48"/>
    </row>
    <row r="344">
      <c r="H344" s="48"/>
    </row>
    <row r="345">
      <c r="H345" s="48"/>
    </row>
    <row r="346">
      <c r="H346" s="48"/>
    </row>
    <row r="347">
      <c r="H347" s="48"/>
    </row>
    <row r="348">
      <c r="H348" s="48"/>
    </row>
    <row r="349">
      <c r="H349" s="48"/>
    </row>
    <row r="350">
      <c r="H350" s="48"/>
    </row>
    <row r="351">
      <c r="H351" s="48"/>
    </row>
    <row r="352">
      <c r="H352" s="48"/>
    </row>
    <row r="353">
      <c r="H353" s="48"/>
    </row>
    <row r="354">
      <c r="H354" s="48"/>
    </row>
    <row r="355">
      <c r="H355" s="48"/>
    </row>
    <row r="356">
      <c r="H356" s="48"/>
    </row>
    <row r="357">
      <c r="H357" s="48"/>
    </row>
    <row r="358">
      <c r="H358" s="48"/>
    </row>
    <row r="359">
      <c r="H359" s="48"/>
    </row>
    <row r="360">
      <c r="H360" s="48"/>
    </row>
    <row r="361">
      <c r="H361" s="48"/>
    </row>
    <row r="362">
      <c r="H362" s="48"/>
    </row>
    <row r="363">
      <c r="H363" s="48"/>
    </row>
    <row r="364">
      <c r="H364" s="48"/>
    </row>
    <row r="365">
      <c r="H365" s="48"/>
    </row>
    <row r="366">
      <c r="H366" s="48"/>
    </row>
    <row r="367">
      <c r="H367" s="48"/>
    </row>
    <row r="368">
      <c r="H368" s="48"/>
    </row>
    <row r="369">
      <c r="H369" s="48"/>
    </row>
    <row r="370">
      <c r="H370" s="48"/>
    </row>
    <row r="371">
      <c r="H371" s="48"/>
    </row>
    <row r="372">
      <c r="H372" s="48"/>
    </row>
    <row r="373">
      <c r="H373" s="48"/>
    </row>
    <row r="374">
      <c r="H374" s="48"/>
    </row>
    <row r="375">
      <c r="H375" s="48"/>
    </row>
    <row r="376">
      <c r="H376" s="48"/>
    </row>
    <row r="377">
      <c r="H377" s="48"/>
    </row>
    <row r="378">
      <c r="H378" s="48"/>
    </row>
    <row r="379">
      <c r="H379" s="48"/>
    </row>
    <row r="380">
      <c r="H380" s="48"/>
    </row>
    <row r="381">
      <c r="H381" s="48"/>
    </row>
    <row r="382">
      <c r="H382" s="48"/>
    </row>
    <row r="383">
      <c r="H383" s="48"/>
    </row>
    <row r="384">
      <c r="H384" s="48"/>
    </row>
    <row r="385">
      <c r="H385" s="48"/>
    </row>
    <row r="386">
      <c r="H386" s="48"/>
    </row>
    <row r="387">
      <c r="H387" s="48"/>
    </row>
    <row r="388">
      <c r="H388" s="48"/>
    </row>
    <row r="389">
      <c r="H389" s="48"/>
    </row>
    <row r="390">
      <c r="H390" s="48"/>
    </row>
    <row r="391">
      <c r="H391" s="48"/>
    </row>
    <row r="392">
      <c r="H392" s="48"/>
    </row>
    <row r="393">
      <c r="H393" s="48"/>
    </row>
    <row r="394">
      <c r="H394" s="48"/>
    </row>
    <row r="395">
      <c r="H395" s="48"/>
    </row>
    <row r="396">
      <c r="H396" s="48"/>
    </row>
    <row r="397">
      <c r="H397" s="48"/>
    </row>
    <row r="398">
      <c r="H398" s="48"/>
    </row>
    <row r="399">
      <c r="H399" s="48"/>
    </row>
    <row r="400">
      <c r="H400" s="48"/>
    </row>
    <row r="401">
      <c r="H401" s="48"/>
    </row>
    <row r="402">
      <c r="H402" s="48"/>
    </row>
    <row r="403">
      <c r="H403" s="48"/>
    </row>
    <row r="404">
      <c r="H404" s="48"/>
    </row>
    <row r="405">
      <c r="H405" s="48"/>
    </row>
    <row r="406">
      <c r="H406" s="48"/>
    </row>
    <row r="407">
      <c r="H407" s="48"/>
    </row>
    <row r="408">
      <c r="H408" s="48"/>
    </row>
    <row r="409">
      <c r="H409" s="48"/>
    </row>
    <row r="410">
      <c r="H410" s="48"/>
    </row>
    <row r="411">
      <c r="H411" s="48"/>
    </row>
    <row r="412">
      <c r="H412" s="48"/>
    </row>
    <row r="413">
      <c r="H413" s="48"/>
    </row>
    <row r="414">
      <c r="H414" s="48"/>
    </row>
    <row r="415">
      <c r="H415" s="48"/>
    </row>
    <row r="416">
      <c r="H416" s="48"/>
    </row>
    <row r="417">
      <c r="H417" s="48"/>
    </row>
    <row r="418">
      <c r="H418" s="48"/>
    </row>
    <row r="419">
      <c r="H419" s="48"/>
    </row>
    <row r="420">
      <c r="H420" s="48"/>
    </row>
    <row r="421">
      <c r="H421" s="48"/>
    </row>
    <row r="422">
      <c r="H422" s="48"/>
    </row>
    <row r="423">
      <c r="H423" s="48"/>
    </row>
    <row r="424">
      <c r="H424" s="48"/>
    </row>
    <row r="425">
      <c r="H425" s="48"/>
    </row>
    <row r="426">
      <c r="H426" s="48"/>
    </row>
    <row r="427">
      <c r="H427" s="48"/>
    </row>
    <row r="428">
      <c r="H428" s="48"/>
    </row>
    <row r="429">
      <c r="H429" s="48"/>
    </row>
    <row r="430">
      <c r="H430" s="48"/>
    </row>
    <row r="431">
      <c r="H431" s="48"/>
    </row>
    <row r="432">
      <c r="H432" s="48"/>
    </row>
    <row r="433">
      <c r="H433" s="48"/>
    </row>
    <row r="434">
      <c r="H434" s="48"/>
    </row>
    <row r="435">
      <c r="H435" s="48"/>
    </row>
    <row r="436">
      <c r="H436" s="48"/>
    </row>
    <row r="437">
      <c r="H437" s="48"/>
    </row>
    <row r="438">
      <c r="H438" s="48"/>
    </row>
    <row r="439">
      <c r="H439" s="48"/>
    </row>
    <row r="440">
      <c r="H440" s="48"/>
    </row>
    <row r="441">
      <c r="H441" s="48"/>
    </row>
    <row r="442">
      <c r="H442" s="48"/>
    </row>
    <row r="443">
      <c r="H443" s="48"/>
    </row>
    <row r="444">
      <c r="H444" s="48"/>
    </row>
    <row r="445">
      <c r="H445" s="48"/>
    </row>
    <row r="446">
      <c r="H446" s="48"/>
    </row>
    <row r="447">
      <c r="H447" s="48"/>
    </row>
    <row r="448">
      <c r="H448" s="48"/>
    </row>
    <row r="449">
      <c r="H449" s="48"/>
    </row>
    <row r="450">
      <c r="H450" s="48"/>
    </row>
    <row r="451">
      <c r="H451" s="48"/>
    </row>
    <row r="452">
      <c r="H452" s="48"/>
    </row>
    <row r="453">
      <c r="H453" s="48"/>
    </row>
    <row r="454">
      <c r="H454" s="48"/>
    </row>
    <row r="455">
      <c r="H455" s="48"/>
    </row>
    <row r="456">
      <c r="H456" s="48"/>
    </row>
    <row r="457">
      <c r="H457" s="48"/>
    </row>
    <row r="458">
      <c r="H458" s="48"/>
    </row>
    <row r="459">
      <c r="H459" s="48"/>
    </row>
    <row r="460">
      <c r="H460" s="48"/>
    </row>
    <row r="461">
      <c r="H461" s="48"/>
    </row>
    <row r="462">
      <c r="H462" s="48"/>
    </row>
    <row r="463">
      <c r="H463" s="48"/>
    </row>
    <row r="464">
      <c r="H464" s="48"/>
    </row>
    <row r="465">
      <c r="H465" s="48"/>
    </row>
    <row r="466">
      <c r="H466" s="48"/>
    </row>
    <row r="467">
      <c r="H467" s="48"/>
    </row>
    <row r="468">
      <c r="H468" s="48"/>
    </row>
    <row r="469">
      <c r="H469" s="48"/>
    </row>
    <row r="470">
      <c r="H470" s="48"/>
    </row>
    <row r="471">
      <c r="H471" s="48"/>
    </row>
    <row r="472">
      <c r="H472" s="48"/>
    </row>
    <row r="473">
      <c r="H473" s="48"/>
    </row>
    <row r="474">
      <c r="H474" s="48"/>
    </row>
    <row r="475">
      <c r="H475" s="48"/>
    </row>
    <row r="476">
      <c r="H476" s="48"/>
    </row>
    <row r="477">
      <c r="H477" s="48"/>
    </row>
    <row r="478">
      <c r="H478" s="48"/>
    </row>
    <row r="479">
      <c r="H479" s="48"/>
    </row>
    <row r="480">
      <c r="H480" s="48"/>
    </row>
    <row r="481">
      <c r="H481" s="48"/>
    </row>
    <row r="482">
      <c r="H482" s="48"/>
    </row>
    <row r="483">
      <c r="H483" s="48"/>
    </row>
    <row r="484">
      <c r="H484" s="48"/>
    </row>
    <row r="485">
      <c r="H485" s="48"/>
    </row>
    <row r="486">
      <c r="H486" s="48"/>
    </row>
    <row r="487">
      <c r="H487" s="48"/>
    </row>
    <row r="488">
      <c r="H488" s="48"/>
    </row>
    <row r="489">
      <c r="H489" s="48"/>
    </row>
    <row r="490">
      <c r="H490" s="48"/>
    </row>
    <row r="491">
      <c r="H491" s="48"/>
    </row>
    <row r="492">
      <c r="H492" s="48"/>
    </row>
    <row r="493">
      <c r="H493" s="48"/>
    </row>
    <row r="494">
      <c r="H494" s="48"/>
    </row>
    <row r="495">
      <c r="H495" s="48"/>
    </row>
    <row r="496">
      <c r="H496" s="48"/>
    </row>
    <row r="497">
      <c r="H497" s="48"/>
    </row>
    <row r="498">
      <c r="H498" s="48"/>
    </row>
    <row r="499">
      <c r="H499" s="48"/>
    </row>
    <row r="500">
      <c r="H500" s="48"/>
    </row>
    <row r="501">
      <c r="H501" s="48"/>
    </row>
    <row r="502">
      <c r="H502" s="48"/>
    </row>
    <row r="503">
      <c r="H503" s="48"/>
    </row>
    <row r="504">
      <c r="H504" s="48"/>
    </row>
    <row r="505">
      <c r="H505" s="48"/>
    </row>
    <row r="506">
      <c r="H506" s="48"/>
    </row>
    <row r="507">
      <c r="H507" s="48"/>
    </row>
    <row r="508">
      <c r="H508" s="48"/>
    </row>
    <row r="509">
      <c r="H509" s="48"/>
    </row>
    <row r="510">
      <c r="H510" s="48"/>
    </row>
    <row r="511">
      <c r="H511" s="48"/>
    </row>
    <row r="512">
      <c r="H512" s="48"/>
    </row>
    <row r="513">
      <c r="H513" s="48"/>
    </row>
    <row r="514">
      <c r="H514" s="48"/>
    </row>
    <row r="515">
      <c r="H515" s="48"/>
    </row>
    <row r="516">
      <c r="H516" s="48"/>
    </row>
    <row r="517">
      <c r="H517" s="48"/>
    </row>
    <row r="518">
      <c r="H518" s="48"/>
    </row>
    <row r="519">
      <c r="H519" s="48"/>
    </row>
    <row r="520">
      <c r="H520" s="48"/>
    </row>
    <row r="521">
      <c r="H521" s="48"/>
    </row>
    <row r="522">
      <c r="H522" s="48"/>
    </row>
    <row r="523">
      <c r="H523" s="48"/>
    </row>
    <row r="524">
      <c r="H524" s="48"/>
    </row>
    <row r="525">
      <c r="H525" s="48"/>
    </row>
    <row r="526">
      <c r="H526" s="48"/>
    </row>
    <row r="527">
      <c r="H527" s="48"/>
    </row>
    <row r="528">
      <c r="H528" s="48"/>
    </row>
    <row r="529">
      <c r="H529" s="48"/>
    </row>
    <row r="530">
      <c r="H530" s="48"/>
    </row>
    <row r="531">
      <c r="H531" s="48"/>
    </row>
    <row r="532">
      <c r="H532" s="48"/>
    </row>
    <row r="533">
      <c r="H533" s="48"/>
    </row>
    <row r="534">
      <c r="H534" s="48"/>
    </row>
    <row r="535">
      <c r="H535" s="48"/>
    </row>
    <row r="536">
      <c r="H536" s="48"/>
    </row>
    <row r="537">
      <c r="H537" s="48"/>
    </row>
    <row r="538">
      <c r="H538" s="48"/>
    </row>
    <row r="539">
      <c r="H539" s="48"/>
    </row>
    <row r="540">
      <c r="H540" s="48"/>
    </row>
    <row r="541">
      <c r="H541" s="48"/>
    </row>
    <row r="542">
      <c r="H542" s="48"/>
    </row>
    <row r="543">
      <c r="H543" s="48"/>
    </row>
    <row r="544">
      <c r="H544" s="48"/>
    </row>
    <row r="545">
      <c r="H545" s="48"/>
    </row>
    <row r="546">
      <c r="H546" s="48"/>
    </row>
    <row r="547">
      <c r="H547" s="48"/>
    </row>
    <row r="548">
      <c r="H548" s="48"/>
    </row>
    <row r="549">
      <c r="H549" s="48"/>
    </row>
    <row r="550">
      <c r="H550" s="48"/>
    </row>
    <row r="551">
      <c r="H551" s="48"/>
    </row>
    <row r="552">
      <c r="H552" s="48"/>
    </row>
    <row r="553">
      <c r="H553" s="48"/>
    </row>
    <row r="554">
      <c r="H554" s="48"/>
    </row>
    <row r="555">
      <c r="H555" s="48"/>
    </row>
    <row r="556">
      <c r="H556" s="48"/>
    </row>
    <row r="557">
      <c r="H557" s="48"/>
    </row>
    <row r="558">
      <c r="H558" s="48"/>
    </row>
    <row r="559">
      <c r="H559" s="48"/>
    </row>
    <row r="560">
      <c r="H560" s="48"/>
    </row>
    <row r="561">
      <c r="H561" s="48"/>
    </row>
    <row r="562">
      <c r="H562" s="48"/>
    </row>
    <row r="563">
      <c r="H563" s="48"/>
    </row>
    <row r="564">
      <c r="H564" s="48"/>
    </row>
    <row r="565">
      <c r="H565" s="48"/>
    </row>
    <row r="566">
      <c r="H566" s="48"/>
    </row>
    <row r="567">
      <c r="H567" s="48"/>
    </row>
    <row r="568">
      <c r="H568" s="48"/>
    </row>
    <row r="569">
      <c r="H569" s="48"/>
    </row>
    <row r="570">
      <c r="H570" s="48"/>
    </row>
    <row r="571">
      <c r="H571" s="48"/>
    </row>
    <row r="572">
      <c r="H572" s="48"/>
    </row>
    <row r="573">
      <c r="H573" s="48"/>
    </row>
    <row r="574">
      <c r="H574" s="48"/>
    </row>
    <row r="575">
      <c r="H575" s="48"/>
    </row>
    <row r="576">
      <c r="H576" s="48"/>
    </row>
    <row r="577">
      <c r="H577" s="48"/>
    </row>
    <row r="578">
      <c r="H578" s="48"/>
    </row>
    <row r="579">
      <c r="H579" s="48"/>
    </row>
    <row r="580">
      <c r="H580" s="48"/>
    </row>
    <row r="581">
      <c r="H581" s="48"/>
    </row>
    <row r="582">
      <c r="H582" s="48"/>
    </row>
    <row r="583">
      <c r="H583" s="48"/>
    </row>
    <row r="584">
      <c r="H584" s="48"/>
    </row>
    <row r="585">
      <c r="H585" s="48"/>
    </row>
    <row r="586">
      <c r="H586" s="48"/>
    </row>
    <row r="587">
      <c r="H587" s="48"/>
    </row>
    <row r="588">
      <c r="H588" s="48"/>
    </row>
    <row r="589">
      <c r="H589" s="48"/>
    </row>
    <row r="590">
      <c r="H590" s="48"/>
    </row>
    <row r="591">
      <c r="H591" s="48"/>
    </row>
    <row r="592">
      <c r="H592" s="48"/>
    </row>
    <row r="593">
      <c r="H593" s="48"/>
    </row>
    <row r="594">
      <c r="H594" s="48"/>
    </row>
    <row r="595">
      <c r="H595" s="48"/>
    </row>
    <row r="596">
      <c r="H596" s="48"/>
    </row>
    <row r="597">
      <c r="H597" s="48"/>
    </row>
    <row r="598">
      <c r="H598" s="48"/>
    </row>
    <row r="599">
      <c r="H599" s="48"/>
    </row>
    <row r="600">
      <c r="H600" s="48"/>
    </row>
    <row r="601">
      <c r="H601" s="48"/>
    </row>
    <row r="602">
      <c r="H602" s="48"/>
    </row>
    <row r="603">
      <c r="H603" s="48"/>
    </row>
    <row r="604">
      <c r="H604" s="48"/>
    </row>
    <row r="605">
      <c r="H605" s="48"/>
    </row>
    <row r="606">
      <c r="H606" s="48"/>
    </row>
    <row r="607">
      <c r="H607" s="48"/>
    </row>
    <row r="608">
      <c r="H608" s="48"/>
    </row>
    <row r="609">
      <c r="H609" s="48"/>
    </row>
    <row r="610">
      <c r="H610" s="48"/>
    </row>
    <row r="611">
      <c r="H611" s="48"/>
    </row>
    <row r="612">
      <c r="H612" s="48"/>
    </row>
    <row r="613">
      <c r="H613" s="48"/>
    </row>
    <row r="614">
      <c r="H614" s="48"/>
    </row>
    <row r="615">
      <c r="H615" s="48"/>
    </row>
    <row r="616">
      <c r="H616" s="48"/>
    </row>
    <row r="617">
      <c r="H617" s="48"/>
    </row>
    <row r="618">
      <c r="H618" s="48"/>
    </row>
    <row r="619">
      <c r="H619" s="48"/>
    </row>
    <row r="620">
      <c r="H620" s="48"/>
    </row>
    <row r="621">
      <c r="H621" s="48"/>
    </row>
    <row r="622">
      <c r="H622" s="48"/>
    </row>
    <row r="623">
      <c r="H623" s="48"/>
    </row>
    <row r="624">
      <c r="H624" s="48"/>
    </row>
    <row r="625">
      <c r="H625" s="48"/>
    </row>
    <row r="626">
      <c r="H626" s="48"/>
    </row>
    <row r="627">
      <c r="H627" s="48"/>
    </row>
    <row r="628">
      <c r="H628" s="48"/>
    </row>
    <row r="629">
      <c r="H629" s="48"/>
    </row>
    <row r="630">
      <c r="H630" s="48"/>
    </row>
    <row r="631">
      <c r="H631" s="48"/>
    </row>
    <row r="632">
      <c r="H632" s="48"/>
    </row>
    <row r="633">
      <c r="H633" s="48"/>
    </row>
    <row r="634">
      <c r="H634" s="48"/>
    </row>
    <row r="635">
      <c r="H635" s="48"/>
    </row>
    <row r="636">
      <c r="H636" s="48"/>
    </row>
    <row r="637">
      <c r="H637" s="48"/>
    </row>
    <row r="638">
      <c r="H638" s="48"/>
    </row>
    <row r="639">
      <c r="H639" s="48"/>
    </row>
    <row r="640">
      <c r="H640" s="48"/>
    </row>
    <row r="641">
      <c r="H641" s="48"/>
    </row>
    <row r="642">
      <c r="H642" s="48"/>
    </row>
    <row r="643">
      <c r="H643" s="48"/>
    </row>
    <row r="644">
      <c r="H644" s="48"/>
    </row>
    <row r="645">
      <c r="H645" s="48"/>
    </row>
    <row r="646">
      <c r="H646" s="48"/>
    </row>
    <row r="647">
      <c r="H647" s="48"/>
    </row>
    <row r="648">
      <c r="H648" s="48"/>
    </row>
    <row r="649">
      <c r="H649" s="48"/>
    </row>
    <row r="650">
      <c r="H650" s="48"/>
    </row>
    <row r="651">
      <c r="H651" s="48"/>
    </row>
    <row r="652">
      <c r="H652" s="48"/>
    </row>
    <row r="653">
      <c r="H653" s="48"/>
    </row>
    <row r="654">
      <c r="H654" s="48"/>
    </row>
    <row r="655">
      <c r="H655" s="48"/>
    </row>
    <row r="656">
      <c r="H656" s="48"/>
    </row>
    <row r="657">
      <c r="H657" s="48"/>
    </row>
    <row r="658">
      <c r="H658" s="48"/>
    </row>
    <row r="659">
      <c r="H659" s="48"/>
    </row>
    <row r="660">
      <c r="H660" s="48"/>
    </row>
    <row r="661">
      <c r="H661" s="48"/>
    </row>
    <row r="662">
      <c r="H662" s="48"/>
    </row>
    <row r="663">
      <c r="H663" s="48"/>
    </row>
    <row r="664">
      <c r="H664" s="48"/>
    </row>
    <row r="665">
      <c r="H665" s="48"/>
    </row>
    <row r="666">
      <c r="H666" s="48"/>
    </row>
    <row r="667">
      <c r="H667" s="48"/>
    </row>
    <row r="668">
      <c r="H668" s="48"/>
    </row>
    <row r="669">
      <c r="H669" s="48"/>
    </row>
    <row r="670">
      <c r="H670" s="48"/>
    </row>
    <row r="671">
      <c r="H671" s="48"/>
    </row>
    <row r="672">
      <c r="H672" s="48"/>
    </row>
    <row r="673">
      <c r="H673" s="48"/>
    </row>
    <row r="674">
      <c r="H674" s="48"/>
    </row>
    <row r="675">
      <c r="H675" s="48"/>
    </row>
    <row r="676">
      <c r="H676" s="48"/>
    </row>
    <row r="677">
      <c r="H677" s="48"/>
    </row>
    <row r="678">
      <c r="H678" s="48"/>
    </row>
    <row r="679">
      <c r="H679" s="48"/>
    </row>
    <row r="680">
      <c r="H680" s="48"/>
    </row>
    <row r="681">
      <c r="H681" s="48"/>
    </row>
    <row r="682">
      <c r="H682" s="48"/>
    </row>
    <row r="683">
      <c r="H683" s="48"/>
    </row>
    <row r="684">
      <c r="H684" s="48"/>
    </row>
    <row r="685">
      <c r="H685" s="48"/>
    </row>
    <row r="686">
      <c r="H686" s="48"/>
    </row>
    <row r="687">
      <c r="H687" s="48"/>
    </row>
    <row r="688">
      <c r="H688" s="48"/>
    </row>
    <row r="689">
      <c r="H689" s="48"/>
    </row>
    <row r="690">
      <c r="H690" s="48"/>
    </row>
    <row r="691">
      <c r="H691" s="48"/>
    </row>
    <row r="692">
      <c r="H692" s="48"/>
    </row>
    <row r="693">
      <c r="H693" s="48"/>
    </row>
    <row r="694">
      <c r="H694" s="48"/>
    </row>
    <row r="695">
      <c r="H695" s="48"/>
    </row>
    <row r="696">
      <c r="H696" s="48"/>
    </row>
    <row r="697">
      <c r="H697" s="48"/>
    </row>
    <row r="698">
      <c r="H698" s="48"/>
    </row>
    <row r="699">
      <c r="H699" s="48"/>
    </row>
    <row r="700">
      <c r="H700" s="48"/>
    </row>
    <row r="701">
      <c r="H701" s="48"/>
    </row>
    <row r="702">
      <c r="H702" s="48"/>
    </row>
    <row r="703">
      <c r="H703" s="48"/>
    </row>
    <row r="704">
      <c r="H704" s="48"/>
    </row>
    <row r="705">
      <c r="H705" s="48"/>
    </row>
    <row r="706">
      <c r="H706" s="48"/>
    </row>
    <row r="707">
      <c r="H707" s="48"/>
    </row>
    <row r="708">
      <c r="H708" s="48"/>
    </row>
    <row r="709">
      <c r="H709" s="48"/>
    </row>
    <row r="710">
      <c r="H710" s="48"/>
    </row>
    <row r="711">
      <c r="H711" s="48"/>
    </row>
    <row r="712">
      <c r="H712" s="48"/>
    </row>
    <row r="713">
      <c r="H713" s="48"/>
    </row>
    <row r="714">
      <c r="H714" s="48"/>
    </row>
    <row r="715">
      <c r="H715" s="48"/>
    </row>
    <row r="716">
      <c r="H716" s="48"/>
    </row>
    <row r="717">
      <c r="H717" s="48"/>
    </row>
    <row r="718">
      <c r="H718" s="48"/>
    </row>
    <row r="719">
      <c r="H719" s="48"/>
    </row>
    <row r="720">
      <c r="H720" s="48"/>
    </row>
    <row r="721">
      <c r="H721" s="48"/>
    </row>
    <row r="722">
      <c r="H722" s="48"/>
    </row>
    <row r="723">
      <c r="H723" s="48"/>
    </row>
    <row r="724">
      <c r="H724" s="48"/>
    </row>
    <row r="725">
      <c r="H725" s="48"/>
    </row>
    <row r="726">
      <c r="H726" s="48"/>
    </row>
    <row r="727">
      <c r="H727" s="48"/>
    </row>
    <row r="728">
      <c r="H728" s="48"/>
    </row>
    <row r="729">
      <c r="H729" s="48"/>
    </row>
    <row r="730">
      <c r="H730" s="48"/>
    </row>
    <row r="731">
      <c r="H731" s="48"/>
    </row>
    <row r="732">
      <c r="H732" s="48"/>
    </row>
    <row r="733">
      <c r="H733" s="48"/>
    </row>
    <row r="734">
      <c r="H734" s="48"/>
    </row>
    <row r="735">
      <c r="H735" s="48"/>
    </row>
    <row r="736">
      <c r="H736" s="48"/>
    </row>
    <row r="737">
      <c r="H737" s="48"/>
    </row>
    <row r="738">
      <c r="H738" s="48"/>
    </row>
    <row r="739">
      <c r="H739" s="48"/>
    </row>
    <row r="740">
      <c r="H740" s="48"/>
    </row>
    <row r="741">
      <c r="H741" s="48"/>
    </row>
    <row r="742">
      <c r="H742" s="48"/>
    </row>
    <row r="743">
      <c r="H743" s="48"/>
    </row>
    <row r="744">
      <c r="H744" s="48"/>
    </row>
    <row r="745">
      <c r="H745" s="48"/>
    </row>
    <row r="746">
      <c r="H746" s="48"/>
    </row>
    <row r="747">
      <c r="H747" s="48"/>
    </row>
    <row r="748">
      <c r="H748" s="48"/>
    </row>
    <row r="749">
      <c r="H749" s="48"/>
    </row>
    <row r="750">
      <c r="H750" s="48"/>
    </row>
    <row r="751">
      <c r="H751" s="48"/>
    </row>
    <row r="752">
      <c r="H752" s="48"/>
    </row>
    <row r="753">
      <c r="H753" s="48"/>
    </row>
    <row r="754">
      <c r="H754" s="48"/>
    </row>
    <row r="755">
      <c r="H755" s="48"/>
    </row>
    <row r="756">
      <c r="H756" s="48"/>
    </row>
    <row r="757">
      <c r="H757" s="48"/>
    </row>
    <row r="758">
      <c r="H758" s="48"/>
    </row>
    <row r="759">
      <c r="H759" s="48"/>
    </row>
    <row r="760">
      <c r="H760" s="48"/>
    </row>
    <row r="761">
      <c r="H761" s="48"/>
    </row>
    <row r="762">
      <c r="H762" s="48"/>
    </row>
    <row r="763">
      <c r="H763" s="48"/>
    </row>
    <row r="764">
      <c r="H764" s="48"/>
    </row>
    <row r="765">
      <c r="H765" s="48"/>
    </row>
    <row r="766">
      <c r="H766" s="48"/>
    </row>
    <row r="767">
      <c r="H767" s="48"/>
    </row>
    <row r="768">
      <c r="H768" s="48"/>
    </row>
    <row r="769">
      <c r="H769" s="48"/>
    </row>
    <row r="770">
      <c r="H770" s="48"/>
    </row>
    <row r="771">
      <c r="H771" s="48"/>
    </row>
    <row r="772">
      <c r="H772" s="48"/>
    </row>
    <row r="773">
      <c r="H773" s="48"/>
    </row>
    <row r="774">
      <c r="H774" s="48"/>
    </row>
    <row r="775">
      <c r="H775" s="48"/>
    </row>
    <row r="776">
      <c r="H776" s="48"/>
    </row>
    <row r="777">
      <c r="H777" s="48"/>
    </row>
    <row r="778">
      <c r="H778" s="48"/>
    </row>
    <row r="779">
      <c r="H779" s="48"/>
    </row>
    <row r="780">
      <c r="H780" s="48"/>
    </row>
    <row r="781">
      <c r="H781" s="48"/>
    </row>
    <row r="782">
      <c r="H782" s="48"/>
    </row>
    <row r="783">
      <c r="H783" s="48"/>
    </row>
    <row r="784">
      <c r="H784" s="48"/>
    </row>
    <row r="785">
      <c r="H785" s="48"/>
    </row>
    <row r="786">
      <c r="H786" s="48"/>
    </row>
    <row r="787">
      <c r="H787" s="48"/>
    </row>
    <row r="788">
      <c r="H788" s="48"/>
    </row>
    <row r="789">
      <c r="H789" s="48"/>
    </row>
    <row r="790">
      <c r="H790" s="48"/>
    </row>
    <row r="791">
      <c r="H791" s="48"/>
    </row>
    <row r="792">
      <c r="H792" s="48"/>
    </row>
    <row r="793">
      <c r="H793" s="48"/>
    </row>
    <row r="794">
      <c r="H794" s="48"/>
    </row>
    <row r="795">
      <c r="H795" s="48"/>
    </row>
    <row r="796">
      <c r="H796" s="48"/>
    </row>
    <row r="797">
      <c r="H797" s="48"/>
    </row>
    <row r="798">
      <c r="H798" s="48"/>
    </row>
    <row r="799">
      <c r="H799" s="48"/>
    </row>
    <row r="800">
      <c r="H800" s="48"/>
    </row>
    <row r="801">
      <c r="H801" s="48"/>
    </row>
    <row r="802">
      <c r="H802" s="48"/>
    </row>
    <row r="803">
      <c r="H803" s="48"/>
    </row>
    <row r="804">
      <c r="H804" s="48"/>
    </row>
    <row r="805">
      <c r="H805" s="48"/>
    </row>
    <row r="806">
      <c r="H806" s="48"/>
    </row>
    <row r="807">
      <c r="H807" s="48"/>
    </row>
    <row r="808">
      <c r="H808" s="48"/>
    </row>
    <row r="809">
      <c r="H809" s="48"/>
    </row>
    <row r="810">
      <c r="H810" s="48"/>
    </row>
    <row r="811">
      <c r="H811" s="48"/>
    </row>
    <row r="812">
      <c r="H812" s="48"/>
    </row>
    <row r="813">
      <c r="H813" s="48"/>
    </row>
    <row r="814">
      <c r="H814" s="48"/>
    </row>
    <row r="815">
      <c r="H815" s="48"/>
    </row>
    <row r="816">
      <c r="H816" s="48"/>
    </row>
    <row r="817">
      <c r="H817" s="48"/>
    </row>
    <row r="818">
      <c r="H818" s="48"/>
    </row>
    <row r="819">
      <c r="H819" s="48"/>
    </row>
    <row r="820">
      <c r="H820" s="48"/>
    </row>
    <row r="821">
      <c r="H821" s="48"/>
    </row>
    <row r="822">
      <c r="H822" s="48"/>
    </row>
    <row r="823">
      <c r="H823" s="48"/>
    </row>
    <row r="824">
      <c r="H824" s="48"/>
    </row>
    <row r="825">
      <c r="H825" s="48"/>
    </row>
    <row r="826">
      <c r="H826" s="48"/>
    </row>
    <row r="827">
      <c r="H827" s="48"/>
    </row>
    <row r="828">
      <c r="H828" s="48"/>
    </row>
    <row r="829">
      <c r="H829" s="48"/>
    </row>
    <row r="830">
      <c r="H830" s="48"/>
    </row>
    <row r="831">
      <c r="H831" s="48"/>
    </row>
    <row r="832">
      <c r="H832" s="48"/>
    </row>
    <row r="833">
      <c r="H833" s="48"/>
    </row>
    <row r="834">
      <c r="H834" s="48"/>
    </row>
    <row r="835">
      <c r="H835" s="48"/>
    </row>
    <row r="836">
      <c r="H836" s="48"/>
    </row>
    <row r="837">
      <c r="H837" s="48"/>
    </row>
    <row r="838">
      <c r="H838" s="48"/>
    </row>
    <row r="839">
      <c r="H839" s="48"/>
    </row>
    <row r="840">
      <c r="H840" s="48"/>
    </row>
    <row r="841">
      <c r="H841" s="48"/>
    </row>
    <row r="842">
      <c r="H842" s="48"/>
    </row>
    <row r="843">
      <c r="H843" s="48"/>
    </row>
    <row r="844">
      <c r="H844" s="48"/>
    </row>
    <row r="845">
      <c r="H845" s="48"/>
    </row>
    <row r="846">
      <c r="H846" s="48"/>
    </row>
    <row r="847">
      <c r="H847" s="48"/>
    </row>
    <row r="848">
      <c r="H848" s="48"/>
    </row>
    <row r="849">
      <c r="H849" s="48"/>
    </row>
    <row r="850">
      <c r="H850" s="48"/>
    </row>
    <row r="851">
      <c r="H851" s="48"/>
    </row>
    <row r="852">
      <c r="H852" s="48"/>
    </row>
    <row r="853">
      <c r="H853" s="48"/>
    </row>
    <row r="854">
      <c r="H854" s="48"/>
    </row>
    <row r="855">
      <c r="H855" s="48"/>
    </row>
    <row r="856">
      <c r="H856" s="48"/>
    </row>
    <row r="857">
      <c r="H857" s="48"/>
    </row>
    <row r="858">
      <c r="H858" s="48"/>
    </row>
    <row r="859">
      <c r="H859" s="48"/>
    </row>
    <row r="860">
      <c r="H860" s="48"/>
    </row>
    <row r="861">
      <c r="H861" s="48"/>
    </row>
    <row r="862">
      <c r="H862" s="48"/>
    </row>
    <row r="863">
      <c r="H863" s="48"/>
    </row>
    <row r="864">
      <c r="H864" s="48"/>
    </row>
    <row r="865">
      <c r="H865" s="48"/>
    </row>
    <row r="866">
      <c r="H866" s="48"/>
    </row>
    <row r="867">
      <c r="H867" s="48"/>
    </row>
    <row r="868">
      <c r="H868" s="48"/>
    </row>
    <row r="869">
      <c r="H869" s="48"/>
    </row>
    <row r="870">
      <c r="H870" s="48"/>
    </row>
    <row r="871">
      <c r="H871" s="48"/>
    </row>
    <row r="872">
      <c r="H872" s="48"/>
    </row>
    <row r="873">
      <c r="H873" s="48"/>
    </row>
    <row r="874">
      <c r="H874" s="48"/>
    </row>
    <row r="875">
      <c r="H875" s="48"/>
    </row>
    <row r="876">
      <c r="H876" s="48"/>
    </row>
    <row r="877">
      <c r="H877" s="48"/>
    </row>
    <row r="878">
      <c r="H878" s="48"/>
    </row>
    <row r="879">
      <c r="H879" s="48"/>
    </row>
    <row r="880">
      <c r="H880" s="48"/>
    </row>
    <row r="881">
      <c r="H881" s="48"/>
    </row>
    <row r="882">
      <c r="H882" s="48"/>
    </row>
    <row r="883">
      <c r="H883" s="48"/>
    </row>
    <row r="884">
      <c r="H884" s="48"/>
    </row>
    <row r="885">
      <c r="H885" s="48"/>
    </row>
    <row r="886">
      <c r="H886" s="48"/>
    </row>
    <row r="887">
      <c r="H887" s="48"/>
    </row>
    <row r="888">
      <c r="H888" s="48"/>
    </row>
    <row r="889">
      <c r="H889" s="48"/>
    </row>
    <row r="890">
      <c r="H890" s="48"/>
    </row>
    <row r="891">
      <c r="H891" s="48"/>
    </row>
    <row r="892">
      <c r="H892" s="48"/>
    </row>
    <row r="893">
      <c r="H893" s="48"/>
    </row>
    <row r="894">
      <c r="H894" s="48"/>
    </row>
    <row r="895">
      <c r="H895" s="48"/>
    </row>
    <row r="896">
      <c r="H896" s="48"/>
    </row>
    <row r="897">
      <c r="H897" s="48"/>
    </row>
    <row r="898">
      <c r="H898" s="48"/>
    </row>
    <row r="899">
      <c r="H899" s="48"/>
    </row>
    <row r="900">
      <c r="H900" s="48"/>
    </row>
    <row r="901">
      <c r="H901" s="48"/>
    </row>
    <row r="902">
      <c r="H902" s="48"/>
    </row>
    <row r="903">
      <c r="H903" s="48"/>
    </row>
    <row r="904">
      <c r="H904" s="48"/>
    </row>
    <row r="905">
      <c r="H905" s="48"/>
    </row>
    <row r="906">
      <c r="H906" s="48"/>
    </row>
    <row r="907">
      <c r="H907" s="48"/>
    </row>
    <row r="908">
      <c r="H908" s="48"/>
    </row>
    <row r="909">
      <c r="H909" s="48"/>
    </row>
    <row r="910">
      <c r="H910" s="48"/>
    </row>
    <row r="911">
      <c r="H911" s="48"/>
    </row>
    <row r="912">
      <c r="H912" s="48"/>
    </row>
    <row r="913">
      <c r="H913" s="48"/>
    </row>
    <row r="914">
      <c r="H914" s="48"/>
    </row>
    <row r="915">
      <c r="H915" s="48"/>
    </row>
    <row r="916">
      <c r="H916" s="48"/>
    </row>
    <row r="917">
      <c r="H917" s="48"/>
    </row>
    <row r="918">
      <c r="H918" s="48"/>
    </row>
    <row r="919">
      <c r="H919" s="48"/>
    </row>
    <row r="920">
      <c r="H920" s="48"/>
    </row>
    <row r="921">
      <c r="H921" s="48"/>
    </row>
    <row r="922">
      <c r="H922" s="48"/>
    </row>
    <row r="923">
      <c r="H923" s="48"/>
    </row>
    <row r="924">
      <c r="H924" s="48"/>
    </row>
    <row r="925">
      <c r="H925" s="48"/>
    </row>
    <row r="926">
      <c r="H926" s="48"/>
    </row>
    <row r="927">
      <c r="H927" s="48"/>
    </row>
    <row r="928">
      <c r="H928" s="48"/>
    </row>
    <row r="929">
      <c r="H929" s="48"/>
    </row>
    <row r="930">
      <c r="H930" s="48"/>
    </row>
    <row r="931">
      <c r="H931" s="48"/>
    </row>
    <row r="932">
      <c r="H932" s="48"/>
    </row>
    <row r="933">
      <c r="H933" s="48"/>
    </row>
    <row r="934">
      <c r="H934" s="48"/>
    </row>
    <row r="935">
      <c r="H935" s="48"/>
    </row>
    <row r="936">
      <c r="H936" s="48"/>
    </row>
    <row r="937">
      <c r="H937" s="48"/>
    </row>
    <row r="938">
      <c r="H938" s="48"/>
    </row>
    <row r="939">
      <c r="H939" s="48"/>
    </row>
    <row r="940">
      <c r="H940" s="48"/>
    </row>
    <row r="941">
      <c r="H941" s="48"/>
    </row>
    <row r="942">
      <c r="H942" s="48"/>
    </row>
    <row r="943">
      <c r="H943" s="48"/>
    </row>
    <row r="944">
      <c r="H944" s="48"/>
    </row>
    <row r="945">
      <c r="H945" s="48"/>
    </row>
    <row r="946">
      <c r="H946" s="48"/>
    </row>
    <row r="947">
      <c r="H947" s="48"/>
    </row>
    <row r="948">
      <c r="H948" s="48"/>
    </row>
    <row r="949">
      <c r="H949" s="48"/>
    </row>
    <row r="950">
      <c r="H950" s="48"/>
    </row>
    <row r="951">
      <c r="H951" s="48"/>
    </row>
    <row r="952">
      <c r="H952" s="48"/>
    </row>
    <row r="953">
      <c r="H953" s="48"/>
    </row>
    <row r="954">
      <c r="H954" s="48"/>
    </row>
    <row r="955">
      <c r="H955" s="48"/>
    </row>
    <row r="956">
      <c r="H956" s="48"/>
    </row>
    <row r="957">
      <c r="H957" s="48"/>
    </row>
    <row r="958">
      <c r="H958" s="48"/>
    </row>
    <row r="959">
      <c r="H959" s="48"/>
    </row>
    <row r="960">
      <c r="H960" s="48"/>
    </row>
    <row r="961">
      <c r="H961" s="48"/>
    </row>
    <row r="962">
      <c r="H962" s="48"/>
    </row>
    <row r="963">
      <c r="H963" s="48"/>
    </row>
    <row r="964">
      <c r="H964" s="48"/>
    </row>
    <row r="965">
      <c r="H965" s="48"/>
    </row>
    <row r="966">
      <c r="H966" s="48"/>
    </row>
    <row r="967">
      <c r="H967" s="48"/>
    </row>
    <row r="968">
      <c r="H968" s="48"/>
    </row>
    <row r="969">
      <c r="H969" s="48"/>
    </row>
  </sheetData>
  <mergeCells count="1">
    <mergeCell ref="C1:F1"/>
  </mergeCells>
  <conditionalFormatting sqref="B4">
    <cfRule type="notContainsBlanks" dxfId="4" priority="1">
      <formula>LEN(TRIM(B4))&gt;0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88"/>
    <col customWidth="1" min="3" max="3" width="13.38"/>
    <col customWidth="1" min="4" max="4" width="74.0"/>
    <col customWidth="1" min="5" max="5" width="22.5"/>
    <col customWidth="1" min="6" max="6" width="49.0"/>
    <col customWidth="1" min="7" max="7" width="9.38"/>
    <col customWidth="1" min="8" max="8" width="16.13"/>
    <col customWidth="1" min="9" max="9" width="43.5"/>
  </cols>
  <sheetData>
    <row r="1">
      <c r="A1" s="1"/>
      <c r="B1" s="1"/>
      <c r="C1" s="1"/>
      <c r="D1" s="3">
        <f>SUM(G:G)</f>
        <v>17422</v>
      </c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/>
      <c r="B2" s="7"/>
      <c r="C2" s="7"/>
      <c r="D2" s="9"/>
      <c r="E2" s="9"/>
      <c r="F2" s="9"/>
      <c r="G2" s="9"/>
      <c r="H2" s="9"/>
      <c r="I2" s="5"/>
    </row>
    <row r="3">
      <c r="A3" s="10"/>
      <c r="B3" s="10"/>
      <c r="C3" s="11" t="s">
        <v>1</v>
      </c>
      <c r="D3" s="12" t="s">
        <v>2</v>
      </c>
      <c r="E3" s="12" t="s">
        <v>3</v>
      </c>
      <c r="F3" s="12" t="s">
        <v>4</v>
      </c>
      <c r="G3" s="12" t="s">
        <v>5</v>
      </c>
      <c r="H3" s="13" t="s">
        <v>6</v>
      </c>
      <c r="I3" s="14" t="s">
        <v>7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16">
        <v>1.0</v>
      </c>
      <c r="B4" s="16"/>
      <c r="C4" s="17" t="s">
        <v>749</v>
      </c>
      <c r="D4" s="18" t="s">
        <v>750</v>
      </c>
      <c r="E4" s="51" t="s">
        <v>751</v>
      </c>
      <c r="F4" s="20" t="s">
        <v>752</v>
      </c>
      <c r="G4" s="21">
        <v>721.0</v>
      </c>
      <c r="H4" s="22">
        <v>1.0</v>
      </c>
      <c r="I4" s="23">
        <v>1557.0</v>
      </c>
    </row>
    <row r="5">
      <c r="A5" s="16">
        <v>2.0</v>
      </c>
      <c r="B5" s="16"/>
      <c r="C5" s="17" t="s">
        <v>753</v>
      </c>
      <c r="D5" s="24" t="s">
        <v>754</v>
      </c>
      <c r="E5" s="33" t="s">
        <v>755</v>
      </c>
      <c r="F5" s="26" t="s">
        <v>756</v>
      </c>
      <c r="G5" s="27">
        <v>1102.0</v>
      </c>
      <c r="H5" s="28">
        <v>1.0</v>
      </c>
      <c r="I5" s="29">
        <v>1559.0</v>
      </c>
    </row>
    <row r="6">
      <c r="A6" s="16">
        <v>3.0</v>
      </c>
      <c r="B6" s="16"/>
      <c r="C6" s="17" t="s">
        <v>757</v>
      </c>
      <c r="D6" s="30" t="s">
        <v>758</v>
      </c>
      <c r="E6" s="31" t="s">
        <v>759</v>
      </c>
      <c r="F6" s="32" t="s">
        <v>760</v>
      </c>
      <c r="G6" s="27">
        <v>643.0</v>
      </c>
      <c r="H6" s="28">
        <v>1.0</v>
      </c>
      <c r="I6" s="29">
        <v>1561.0</v>
      </c>
    </row>
    <row r="7">
      <c r="A7" s="16">
        <v>4.0</v>
      </c>
      <c r="B7" s="16"/>
      <c r="C7" s="17" t="s">
        <v>761</v>
      </c>
      <c r="D7" s="30" t="s">
        <v>762</v>
      </c>
      <c r="E7" s="31" t="s">
        <v>763</v>
      </c>
      <c r="F7" s="26" t="s">
        <v>764</v>
      </c>
      <c r="G7" s="27">
        <v>1052.0</v>
      </c>
      <c r="H7" s="28">
        <v>1.0</v>
      </c>
      <c r="I7" s="29">
        <v>1562.0</v>
      </c>
    </row>
    <row r="8">
      <c r="A8" s="16">
        <v>5.0</v>
      </c>
      <c r="B8" s="16"/>
      <c r="C8" s="17" t="s">
        <v>765</v>
      </c>
      <c r="D8" s="24" t="s">
        <v>766</v>
      </c>
      <c r="E8" s="33" t="s">
        <v>767</v>
      </c>
      <c r="F8" s="32" t="s">
        <v>768</v>
      </c>
      <c r="G8" s="27">
        <v>627.0</v>
      </c>
      <c r="H8" s="28">
        <v>1.0</v>
      </c>
      <c r="I8" s="29">
        <v>1564.0</v>
      </c>
    </row>
    <row r="9">
      <c r="A9" s="16">
        <v>6.0</v>
      </c>
      <c r="B9" s="16"/>
      <c r="C9" s="17" t="s">
        <v>769</v>
      </c>
      <c r="D9" s="24" t="s">
        <v>770</v>
      </c>
      <c r="E9" s="33" t="s">
        <v>771</v>
      </c>
      <c r="F9" s="32" t="s">
        <v>772</v>
      </c>
      <c r="G9" s="27">
        <v>4566.0</v>
      </c>
      <c r="H9" s="28">
        <v>8.0</v>
      </c>
      <c r="I9" s="35" t="s">
        <v>773</v>
      </c>
    </row>
    <row r="10">
      <c r="A10" s="16">
        <v>7.0</v>
      </c>
      <c r="B10" s="16"/>
      <c r="C10" s="17"/>
      <c r="D10" s="24"/>
      <c r="E10" s="33"/>
      <c r="F10" s="32"/>
      <c r="G10" s="27"/>
      <c r="H10" s="194"/>
      <c r="I10" s="195"/>
    </row>
    <row r="11">
      <c r="A11" s="16">
        <v>8.0</v>
      </c>
      <c r="B11" s="16"/>
      <c r="C11" s="17"/>
      <c r="D11" s="24"/>
      <c r="E11" s="33"/>
      <c r="F11" s="32"/>
      <c r="G11" s="27"/>
      <c r="H11" s="28"/>
      <c r="I11" s="29"/>
    </row>
    <row r="12">
      <c r="A12" s="16">
        <v>9.0</v>
      </c>
      <c r="B12" s="16"/>
      <c r="C12" s="17"/>
      <c r="D12" s="24"/>
      <c r="E12" s="33"/>
      <c r="F12" s="32"/>
      <c r="G12" s="27"/>
      <c r="H12" s="28"/>
      <c r="I12" s="29"/>
    </row>
    <row r="13">
      <c r="A13" s="16">
        <v>10.0</v>
      </c>
      <c r="B13" s="16"/>
      <c r="C13" s="17"/>
      <c r="D13" s="24"/>
      <c r="E13" s="33"/>
      <c r="F13" s="32"/>
      <c r="G13" s="27"/>
      <c r="H13" s="28"/>
      <c r="I13" s="29"/>
    </row>
    <row r="14">
      <c r="A14" s="16">
        <v>11.0</v>
      </c>
      <c r="B14" s="16"/>
      <c r="C14" s="17"/>
      <c r="D14" s="24"/>
      <c r="E14" s="33"/>
      <c r="F14" s="32"/>
      <c r="G14" s="27"/>
      <c r="H14" s="28"/>
      <c r="I14" s="29"/>
    </row>
    <row r="15">
      <c r="A15" s="16">
        <v>12.0</v>
      </c>
      <c r="B15" s="16"/>
      <c r="C15" s="17"/>
      <c r="D15" s="24"/>
      <c r="E15" s="33"/>
      <c r="F15" s="32"/>
      <c r="G15" s="27"/>
      <c r="H15" s="28"/>
      <c r="I15" s="29"/>
    </row>
    <row r="16">
      <c r="A16" s="16">
        <v>13.0</v>
      </c>
      <c r="B16" s="16"/>
      <c r="C16" s="17"/>
      <c r="D16" s="24"/>
      <c r="E16" s="33"/>
      <c r="F16" s="32"/>
      <c r="G16" s="27"/>
      <c r="H16" s="28"/>
      <c r="I16" s="29"/>
    </row>
    <row r="17">
      <c r="A17" s="16">
        <v>14.0</v>
      </c>
      <c r="B17" s="16"/>
      <c r="C17" s="17"/>
      <c r="D17" s="24"/>
      <c r="E17" s="33"/>
      <c r="F17" s="32"/>
      <c r="G17" s="27"/>
      <c r="H17" s="28"/>
      <c r="I17" s="29"/>
    </row>
    <row r="18">
      <c r="A18" s="16">
        <v>15.0</v>
      </c>
      <c r="B18" s="16"/>
      <c r="C18" s="17"/>
      <c r="D18" s="24"/>
      <c r="E18" s="33"/>
      <c r="F18" s="32"/>
      <c r="G18" s="27"/>
      <c r="H18" s="28"/>
      <c r="I18" s="29"/>
    </row>
    <row r="19">
      <c r="A19" s="16">
        <v>16.0</v>
      </c>
      <c r="B19" s="16"/>
      <c r="C19" s="17"/>
      <c r="D19" s="24"/>
      <c r="E19" s="33"/>
      <c r="F19" s="32"/>
      <c r="G19" s="27"/>
      <c r="H19" s="28"/>
      <c r="I19" s="35"/>
    </row>
    <row r="20">
      <c r="A20" s="16">
        <v>17.0</v>
      </c>
      <c r="B20" s="16"/>
      <c r="C20" s="17"/>
      <c r="D20" s="24"/>
      <c r="E20" s="33"/>
      <c r="F20" s="32"/>
      <c r="G20" s="189"/>
      <c r="H20" s="190"/>
      <c r="I20" s="191"/>
    </row>
    <row r="21">
      <c r="A21" s="16">
        <v>18.0</v>
      </c>
      <c r="B21" s="16"/>
      <c r="C21" s="17"/>
      <c r="D21" s="30"/>
      <c r="E21" s="31"/>
      <c r="F21" s="26"/>
      <c r="G21" s="189"/>
      <c r="H21" s="190"/>
      <c r="I21" s="191"/>
    </row>
    <row r="22">
      <c r="A22" s="16">
        <v>18.0</v>
      </c>
      <c r="B22" s="16"/>
      <c r="C22" s="16"/>
      <c r="D22" s="24"/>
      <c r="E22" s="33"/>
      <c r="F22" s="32"/>
      <c r="G22" s="27"/>
      <c r="H22" s="28"/>
      <c r="I22" s="29"/>
    </row>
    <row r="23">
      <c r="A23" s="16">
        <v>20.0</v>
      </c>
      <c r="B23" s="16"/>
      <c r="C23" s="16"/>
      <c r="D23" s="24"/>
      <c r="E23" s="33"/>
      <c r="F23" s="32"/>
      <c r="G23" s="27"/>
      <c r="H23" s="28"/>
      <c r="I23" s="35"/>
    </row>
    <row r="24">
      <c r="A24" s="40"/>
      <c r="B24" s="40"/>
      <c r="C24" s="40"/>
      <c r="D24" s="42"/>
      <c r="E24" s="42"/>
      <c r="F24" s="42"/>
      <c r="G24" s="43">
        <f t="shared" ref="G24:H24" si="1">SUM(G4:G23)</f>
        <v>8711</v>
      </c>
      <c r="H24" s="44">
        <f t="shared" si="1"/>
        <v>13</v>
      </c>
      <c r="I24" s="45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>
      <c r="I25" s="48"/>
    </row>
    <row r="26">
      <c r="I26" s="48"/>
    </row>
    <row r="27">
      <c r="I27" s="48"/>
    </row>
    <row r="28">
      <c r="I28" s="48"/>
    </row>
    <row r="29">
      <c r="I29" s="48"/>
    </row>
    <row r="30">
      <c r="I30" s="48"/>
    </row>
    <row r="31">
      <c r="I31" s="48"/>
    </row>
    <row r="32">
      <c r="I32" s="48"/>
    </row>
    <row r="33">
      <c r="I33" s="48"/>
    </row>
    <row r="34">
      <c r="I34" s="48"/>
    </row>
    <row r="35">
      <c r="I35" s="48"/>
    </row>
    <row r="36">
      <c r="I36" s="48"/>
    </row>
    <row r="37">
      <c r="I37" s="48"/>
    </row>
    <row r="38">
      <c r="I38" s="48"/>
    </row>
    <row r="39">
      <c r="I39" s="48"/>
    </row>
    <row r="40">
      <c r="I40" s="48"/>
    </row>
    <row r="41">
      <c r="I41" s="48"/>
    </row>
    <row r="42">
      <c r="I42" s="48"/>
    </row>
    <row r="43">
      <c r="I43" s="48"/>
    </row>
    <row r="44">
      <c r="I44" s="48"/>
    </row>
    <row r="45">
      <c r="I45" s="48"/>
    </row>
    <row r="46">
      <c r="I46" s="48"/>
    </row>
    <row r="47">
      <c r="I47" s="48"/>
    </row>
    <row r="48">
      <c r="I48" s="48"/>
    </row>
    <row r="49">
      <c r="I49" s="48"/>
    </row>
    <row r="50">
      <c r="I50" s="48"/>
    </row>
    <row r="51">
      <c r="I51" s="48"/>
    </row>
    <row r="52">
      <c r="I52" s="48"/>
    </row>
    <row r="53">
      <c r="I53" s="48"/>
    </row>
    <row r="54">
      <c r="I54" s="48"/>
    </row>
    <row r="55">
      <c r="I55" s="48"/>
    </row>
    <row r="56">
      <c r="I56" s="48"/>
    </row>
    <row r="57">
      <c r="I57" s="48"/>
    </row>
    <row r="58">
      <c r="I58" s="48"/>
    </row>
    <row r="59">
      <c r="I59" s="48"/>
    </row>
    <row r="60">
      <c r="I60" s="48"/>
    </row>
    <row r="61">
      <c r="I61" s="48"/>
    </row>
    <row r="62">
      <c r="I62" s="48"/>
    </row>
    <row r="63">
      <c r="I63" s="48"/>
    </row>
    <row r="64">
      <c r="I64" s="48"/>
    </row>
    <row r="65">
      <c r="I65" s="48"/>
    </row>
    <row r="66">
      <c r="I66" s="48"/>
    </row>
    <row r="67">
      <c r="I67" s="48"/>
    </row>
    <row r="68">
      <c r="I68" s="48"/>
    </row>
    <row r="69">
      <c r="I69" s="48"/>
    </row>
    <row r="70">
      <c r="I70" s="48"/>
    </row>
    <row r="71">
      <c r="I71" s="48"/>
    </row>
    <row r="72">
      <c r="I72" s="48"/>
    </row>
    <row r="73">
      <c r="I73" s="48"/>
    </row>
    <row r="74">
      <c r="I74" s="48"/>
    </row>
    <row r="75">
      <c r="I75" s="48"/>
    </row>
    <row r="76">
      <c r="I76" s="48"/>
    </row>
    <row r="77">
      <c r="I77" s="48"/>
    </row>
    <row r="78">
      <c r="I78" s="48"/>
    </row>
    <row r="79">
      <c r="I79" s="48"/>
    </row>
    <row r="80">
      <c r="I80" s="48"/>
    </row>
    <row r="81">
      <c r="I81" s="48"/>
    </row>
    <row r="82">
      <c r="I82" s="48"/>
    </row>
    <row r="83">
      <c r="I83" s="48"/>
    </row>
    <row r="84">
      <c r="I84" s="48"/>
    </row>
    <row r="85">
      <c r="I85" s="48"/>
    </row>
    <row r="86">
      <c r="I86" s="48"/>
    </row>
    <row r="87">
      <c r="I87" s="48"/>
    </row>
    <row r="88">
      <c r="I88" s="48"/>
    </row>
    <row r="89">
      <c r="I89" s="48"/>
    </row>
    <row r="90">
      <c r="I90" s="48"/>
    </row>
    <row r="91">
      <c r="I91" s="48"/>
    </row>
    <row r="92">
      <c r="I92" s="48"/>
    </row>
    <row r="93">
      <c r="I93" s="48"/>
    </row>
    <row r="94">
      <c r="I94" s="48"/>
    </row>
    <row r="95">
      <c r="I95" s="48"/>
    </row>
    <row r="96">
      <c r="I96" s="48"/>
    </row>
    <row r="97">
      <c r="I97" s="48"/>
    </row>
    <row r="98">
      <c r="I98" s="48"/>
    </row>
    <row r="99">
      <c r="I99" s="48"/>
    </row>
    <row r="100">
      <c r="I100" s="48"/>
    </row>
    <row r="101">
      <c r="I101" s="48"/>
    </row>
    <row r="102">
      <c r="I102" s="48"/>
    </row>
    <row r="103">
      <c r="I103" s="48"/>
    </row>
    <row r="104">
      <c r="I104" s="48"/>
    </row>
    <row r="105">
      <c r="I105" s="48"/>
    </row>
    <row r="106">
      <c r="I106" s="48"/>
    </row>
    <row r="107">
      <c r="I107" s="48"/>
    </row>
    <row r="108">
      <c r="I108" s="48"/>
    </row>
    <row r="109">
      <c r="I109" s="48"/>
    </row>
    <row r="110">
      <c r="I110" s="48"/>
    </row>
    <row r="111">
      <c r="I111" s="48"/>
    </row>
    <row r="112">
      <c r="I112" s="48"/>
    </row>
    <row r="113">
      <c r="I113" s="48"/>
    </row>
    <row r="114">
      <c r="I114" s="48"/>
    </row>
    <row r="115">
      <c r="I115" s="48"/>
    </row>
    <row r="116">
      <c r="I116" s="48"/>
    </row>
    <row r="117">
      <c r="I117" s="48"/>
    </row>
    <row r="118">
      <c r="I118" s="48"/>
    </row>
    <row r="119">
      <c r="I119" s="48"/>
    </row>
    <row r="120">
      <c r="I120" s="48"/>
    </row>
    <row r="121">
      <c r="I121" s="48"/>
    </row>
    <row r="122">
      <c r="I122" s="48"/>
    </row>
    <row r="123">
      <c r="I123" s="48"/>
    </row>
    <row r="124">
      <c r="I124" s="48"/>
    </row>
    <row r="125">
      <c r="I125" s="48"/>
    </row>
    <row r="126">
      <c r="I126" s="48"/>
    </row>
    <row r="127">
      <c r="I127" s="48"/>
    </row>
    <row r="128">
      <c r="I128" s="48"/>
    </row>
    <row r="129">
      <c r="I129" s="48"/>
    </row>
    <row r="130">
      <c r="I130" s="48"/>
    </row>
    <row r="131">
      <c r="I131" s="48"/>
    </row>
    <row r="132">
      <c r="I132" s="48"/>
    </row>
    <row r="133">
      <c r="I133" s="48"/>
    </row>
    <row r="134">
      <c r="I134" s="48"/>
    </row>
    <row r="135">
      <c r="I135" s="48"/>
    </row>
    <row r="136">
      <c r="I136" s="48"/>
    </row>
    <row r="137">
      <c r="I137" s="48"/>
    </row>
    <row r="138">
      <c r="I138" s="48"/>
    </row>
    <row r="139">
      <c r="I139" s="48"/>
    </row>
    <row r="140">
      <c r="I140" s="48"/>
    </row>
    <row r="141">
      <c r="I141" s="48"/>
    </row>
    <row r="142">
      <c r="I142" s="48"/>
    </row>
    <row r="143">
      <c r="I143" s="48"/>
    </row>
    <row r="144">
      <c r="I144" s="48"/>
    </row>
    <row r="145">
      <c r="I145" s="48"/>
    </row>
    <row r="146">
      <c r="I146" s="48"/>
    </row>
    <row r="147">
      <c r="I147" s="48"/>
    </row>
    <row r="148">
      <c r="I148" s="48"/>
    </row>
    <row r="149">
      <c r="I149" s="48"/>
    </row>
    <row r="150">
      <c r="I150" s="48"/>
    </row>
    <row r="151">
      <c r="I151" s="48"/>
    </row>
    <row r="152">
      <c r="I152" s="48"/>
    </row>
    <row r="153">
      <c r="I153" s="48"/>
    </row>
    <row r="154">
      <c r="I154" s="48"/>
    </row>
    <row r="155">
      <c r="I155" s="48"/>
    </row>
    <row r="156">
      <c r="I156" s="48"/>
    </row>
    <row r="157">
      <c r="I157" s="48"/>
    </row>
    <row r="158">
      <c r="I158" s="48"/>
    </row>
    <row r="159">
      <c r="I159" s="48"/>
    </row>
    <row r="160">
      <c r="I160" s="48"/>
    </row>
    <row r="161">
      <c r="I161" s="48"/>
    </row>
    <row r="162">
      <c r="I162" s="48"/>
    </row>
    <row r="163">
      <c r="I163" s="48"/>
    </row>
    <row r="164">
      <c r="I164" s="48"/>
    </row>
    <row r="165">
      <c r="I165" s="48"/>
    </row>
    <row r="166">
      <c r="I166" s="48"/>
    </row>
    <row r="167">
      <c r="I167" s="48"/>
    </row>
    <row r="168">
      <c r="I168" s="48"/>
    </row>
    <row r="169">
      <c r="I169" s="48"/>
    </row>
    <row r="170">
      <c r="I170" s="48"/>
    </row>
    <row r="171">
      <c r="I171" s="48"/>
    </row>
    <row r="172">
      <c r="I172" s="48"/>
    </row>
    <row r="173">
      <c r="I173" s="48"/>
    </row>
    <row r="174">
      <c r="I174" s="48"/>
    </row>
    <row r="175">
      <c r="I175" s="48"/>
    </row>
    <row r="176">
      <c r="I176" s="48"/>
    </row>
    <row r="177">
      <c r="I177" s="48"/>
    </row>
    <row r="178">
      <c r="I178" s="48"/>
    </row>
    <row r="179">
      <c r="I179" s="48"/>
    </row>
    <row r="180">
      <c r="I180" s="48"/>
    </row>
    <row r="181">
      <c r="I181" s="48"/>
    </row>
    <row r="182">
      <c r="I182" s="48"/>
    </row>
    <row r="183">
      <c r="I183" s="48"/>
    </row>
    <row r="184">
      <c r="I184" s="48"/>
    </row>
    <row r="185">
      <c r="I185" s="48"/>
    </row>
    <row r="186">
      <c r="I186" s="48"/>
    </row>
    <row r="187">
      <c r="I187" s="48"/>
    </row>
    <row r="188">
      <c r="I188" s="48"/>
    </row>
    <row r="189">
      <c r="I189" s="48"/>
    </row>
    <row r="190">
      <c r="I190" s="48"/>
    </row>
    <row r="191">
      <c r="I191" s="48"/>
    </row>
    <row r="192">
      <c r="I192" s="48"/>
    </row>
    <row r="193">
      <c r="I193" s="48"/>
    </row>
    <row r="194">
      <c r="I194" s="48"/>
    </row>
    <row r="195">
      <c r="I195" s="48"/>
    </row>
    <row r="196">
      <c r="I196" s="48"/>
    </row>
    <row r="197">
      <c r="I197" s="48"/>
    </row>
    <row r="198">
      <c r="I198" s="48"/>
    </row>
    <row r="199">
      <c r="I199" s="48"/>
    </row>
    <row r="200">
      <c r="I200" s="48"/>
    </row>
    <row r="201">
      <c r="I201" s="48"/>
    </row>
    <row r="202">
      <c r="I202" s="48"/>
    </row>
    <row r="203">
      <c r="I203" s="48"/>
    </row>
    <row r="204">
      <c r="I204" s="48"/>
    </row>
    <row r="205">
      <c r="I205" s="48"/>
    </row>
    <row r="206">
      <c r="I206" s="48"/>
    </row>
    <row r="207">
      <c r="I207" s="48"/>
    </row>
    <row r="208">
      <c r="I208" s="48"/>
    </row>
    <row r="209">
      <c r="I209" s="48"/>
    </row>
    <row r="210">
      <c r="I210" s="48"/>
    </row>
    <row r="211">
      <c r="I211" s="48"/>
    </row>
    <row r="212">
      <c r="I212" s="48"/>
    </row>
    <row r="213">
      <c r="I213" s="48"/>
    </row>
    <row r="214">
      <c r="I214" s="48"/>
    </row>
    <row r="215">
      <c r="I215" s="48"/>
    </row>
    <row r="216">
      <c r="I216" s="48"/>
    </row>
    <row r="217">
      <c r="I217" s="48"/>
    </row>
    <row r="218">
      <c r="I218" s="48"/>
    </row>
    <row r="219">
      <c r="I219" s="48"/>
    </row>
    <row r="220">
      <c r="I220" s="48"/>
    </row>
    <row r="221">
      <c r="I221" s="48"/>
    </row>
    <row r="222">
      <c r="I222" s="48"/>
    </row>
    <row r="223">
      <c r="I223" s="48"/>
    </row>
    <row r="224">
      <c r="I224" s="48"/>
    </row>
    <row r="225">
      <c r="I225" s="48"/>
    </row>
    <row r="226">
      <c r="I226" s="48"/>
    </row>
    <row r="227">
      <c r="I227" s="48"/>
    </row>
    <row r="228">
      <c r="I228" s="48"/>
    </row>
    <row r="229">
      <c r="I229" s="48"/>
    </row>
    <row r="230">
      <c r="I230" s="48"/>
    </row>
    <row r="231">
      <c r="I231" s="48"/>
    </row>
    <row r="232">
      <c r="I232" s="48"/>
    </row>
    <row r="233">
      <c r="I233" s="48"/>
    </row>
    <row r="234">
      <c r="I234" s="48"/>
    </row>
    <row r="235">
      <c r="I235" s="48"/>
    </row>
    <row r="236">
      <c r="I236" s="48"/>
    </row>
    <row r="237">
      <c r="I237" s="48"/>
    </row>
    <row r="238">
      <c r="I238" s="48"/>
    </row>
    <row r="239">
      <c r="I239" s="48"/>
    </row>
    <row r="240">
      <c r="I240" s="48"/>
    </row>
    <row r="241">
      <c r="I241" s="48"/>
    </row>
    <row r="242">
      <c r="I242" s="48"/>
    </row>
    <row r="243">
      <c r="I243" s="48"/>
    </row>
    <row r="244">
      <c r="I244" s="48"/>
    </row>
    <row r="245">
      <c r="I245" s="48"/>
    </row>
    <row r="246">
      <c r="I246" s="48"/>
    </row>
    <row r="247">
      <c r="I247" s="48"/>
    </row>
    <row r="248">
      <c r="I248" s="48"/>
    </row>
    <row r="249">
      <c r="I249" s="48"/>
    </row>
    <row r="250">
      <c r="I250" s="48"/>
    </row>
    <row r="251">
      <c r="I251" s="48"/>
    </row>
    <row r="252">
      <c r="I252" s="48"/>
    </row>
    <row r="253">
      <c r="I253" s="48"/>
    </row>
    <row r="254">
      <c r="I254" s="48"/>
    </row>
    <row r="255">
      <c r="I255" s="48"/>
    </row>
    <row r="256">
      <c r="I256" s="48"/>
    </row>
    <row r="257">
      <c r="I257" s="48"/>
    </row>
    <row r="258">
      <c r="I258" s="48"/>
    </row>
    <row r="259">
      <c r="I259" s="48"/>
    </row>
    <row r="260">
      <c r="I260" s="48"/>
    </row>
    <row r="261">
      <c r="I261" s="48"/>
    </row>
    <row r="262">
      <c r="I262" s="48"/>
    </row>
    <row r="263">
      <c r="I263" s="48"/>
    </row>
    <row r="264">
      <c r="I264" s="48"/>
    </row>
    <row r="265">
      <c r="I265" s="48"/>
    </row>
    <row r="266">
      <c r="I266" s="48"/>
    </row>
    <row r="267">
      <c r="I267" s="48"/>
    </row>
    <row r="268">
      <c r="I268" s="48"/>
    </row>
    <row r="269">
      <c r="I269" s="48"/>
    </row>
    <row r="270">
      <c r="I270" s="48"/>
    </row>
    <row r="271">
      <c r="I271" s="48"/>
    </row>
    <row r="272">
      <c r="I272" s="48"/>
    </row>
    <row r="273">
      <c r="I273" s="48"/>
    </row>
    <row r="274">
      <c r="I274" s="48"/>
    </row>
    <row r="275">
      <c r="I275" s="48"/>
    </row>
    <row r="276">
      <c r="I276" s="48"/>
    </row>
    <row r="277">
      <c r="I277" s="48"/>
    </row>
    <row r="278">
      <c r="I278" s="48"/>
    </row>
    <row r="279">
      <c r="I279" s="48"/>
    </row>
    <row r="280">
      <c r="I280" s="48"/>
    </row>
    <row r="281">
      <c r="I281" s="48"/>
    </row>
    <row r="282">
      <c r="I282" s="48"/>
    </row>
    <row r="283">
      <c r="I283" s="48"/>
    </row>
    <row r="284">
      <c r="I284" s="48"/>
    </row>
    <row r="285">
      <c r="I285" s="48"/>
    </row>
    <row r="286">
      <c r="I286" s="48"/>
    </row>
    <row r="287">
      <c r="I287" s="48"/>
    </row>
    <row r="288">
      <c r="I288" s="48"/>
    </row>
    <row r="289">
      <c r="I289" s="48"/>
    </row>
    <row r="290">
      <c r="I290" s="48"/>
    </row>
    <row r="291">
      <c r="I291" s="48"/>
    </row>
    <row r="292">
      <c r="I292" s="48"/>
    </row>
    <row r="293">
      <c r="I293" s="48"/>
    </row>
    <row r="294">
      <c r="I294" s="48"/>
    </row>
    <row r="295">
      <c r="I295" s="48"/>
    </row>
    <row r="296">
      <c r="I296" s="48"/>
    </row>
    <row r="297">
      <c r="I297" s="48"/>
    </row>
    <row r="298">
      <c r="I298" s="48"/>
    </row>
    <row r="299">
      <c r="I299" s="48"/>
    </row>
    <row r="300">
      <c r="I300" s="48"/>
    </row>
    <row r="301">
      <c r="I301" s="48"/>
    </row>
    <row r="302">
      <c r="I302" s="48"/>
    </row>
    <row r="303">
      <c r="I303" s="48"/>
    </row>
    <row r="304">
      <c r="I304" s="48"/>
    </row>
    <row r="305">
      <c r="I305" s="48"/>
    </row>
    <row r="306">
      <c r="I306" s="48"/>
    </row>
    <row r="307">
      <c r="I307" s="48"/>
    </row>
    <row r="308">
      <c r="I308" s="48"/>
    </row>
    <row r="309">
      <c r="I309" s="48"/>
    </row>
    <row r="310">
      <c r="I310" s="48"/>
    </row>
    <row r="311">
      <c r="I311" s="48"/>
    </row>
    <row r="312">
      <c r="I312" s="48"/>
    </row>
    <row r="313">
      <c r="I313" s="48"/>
    </row>
    <row r="314">
      <c r="I314" s="48"/>
    </row>
    <row r="315">
      <c r="I315" s="48"/>
    </row>
    <row r="316">
      <c r="I316" s="48"/>
    </row>
    <row r="317">
      <c r="I317" s="48"/>
    </row>
    <row r="318">
      <c r="I318" s="48"/>
    </row>
    <row r="319">
      <c r="I319" s="48"/>
    </row>
    <row r="320">
      <c r="I320" s="48"/>
    </row>
    <row r="321">
      <c r="I321" s="48"/>
    </row>
    <row r="322">
      <c r="I322" s="48"/>
    </row>
    <row r="323">
      <c r="I323" s="48"/>
    </row>
    <row r="324">
      <c r="I324" s="48"/>
    </row>
    <row r="325">
      <c r="I325" s="48"/>
    </row>
    <row r="326">
      <c r="I326" s="48"/>
    </row>
    <row r="327">
      <c r="I327" s="48"/>
    </row>
    <row r="328">
      <c r="I328" s="48"/>
    </row>
    <row r="329">
      <c r="I329" s="48"/>
    </row>
    <row r="330">
      <c r="I330" s="48"/>
    </row>
    <row r="331">
      <c r="I331" s="48"/>
    </row>
    <row r="332">
      <c r="I332" s="48"/>
    </row>
    <row r="333">
      <c r="I333" s="48"/>
    </row>
    <row r="334">
      <c r="I334" s="48"/>
    </row>
    <row r="335">
      <c r="I335" s="48"/>
    </row>
    <row r="336">
      <c r="I336" s="48"/>
    </row>
    <row r="337">
      <c r="I337" s="48"/>
    </row>
    <row r="338">
      <c r="I338" s="48"/>
    </row>
    <row r="339">
      <c r="I339" s="48"/>
    </row>
    <row r="340">
      <c r="I340" s="48"/>
    </row>
    <row r="341">
      <c r="I341" s="48"/>
    </row>
    <row r="342">
      <c r="I342" s="48"/>
    </row>
    <row r="343">
      <c r="I343" s="48"/>
    </row>
    <row r="344">
      <c r="I344" s="48"/>
    </row>
    <row r="345">
      <c r="I345" s="48"/>
    </row>
    <row r="346">
      <c r="I346" s="48"/>
    </row>
    <row r="347">
      <c r="I347" s="48"/>
    </row>
    <row r="348">
      <c r="I348" s="48"/>
    </row>
    <row r="349">
      <c r="I349" s="48"/>
    </row>
    <row r="350">
      <c r="I350" s="48"/>
    </row>
    <row r="351">
      <c r="I351" s="48"/>
    </row>
    <row r="352">
      <c r="I352" s="48"/>
    </row>
    <row r="353">
      <c r="I353" s="48"/>
    </row>
    <row r="354">
      <c r="I354" s="48"/>
    </row>
    <row r="355">
      <c r="I355" s="48"/>
    </row>
    <row r="356">
      <c r="I356" s="48"/>
    </row>
    <row r="357">
      <c r="I357" s="48"/>
    </row>
    <row r="358">
      <c r="I358" s="48"/>
    </row>
    <row r="359">
      <c r="I359" s="48"/>
    </row>
    <row r="360">
      <c r="I360" s="48"/>
    </row>
    <row r="361">
      <c r="I361" s="48"/>
    </row>
    <row r="362">
      <c r="I362" s="48"/>
    </row>
    <row r="363">
      <c r="I363" s="48"/>
    </row>
    <row r="364">
      <c r="I364" s="48"/>
    </row>
    <row r="365">
      <c r="I365" s="48"/>
    </row>
    <row r="366">
      <c r="I366" s="48"/>
    </row>
    <row r="367">
      <c r="I367" s="48"/>
    </row>
    <row r="368">
      <c r="I368" s="48"/>
    </row>
    <row r="369">
      <c r="I369" s="48"/>
    </row>
    <row r="370">
      <c r="I370" s="48"/>
    </row>
    <row r="371">
      <c r="I371" s="48"/>
    </row>
    <row r="372">
      <c r="I372" s="48"/>
    </row>
    <row r="373">
      <c r="I373" s="48"/>
    </row>
    <row r="374">
      <c r="I374" s="48"/>
    </row>
    <row r="375">
      <c r="I375" s="48"/>
    </row>
    <row r="376">
      <c r="I376" s="48"/>
    </row>
    <row r="377">
      <c r="I377" s="48"/>
    </row>
    <row r="378">
      <c r="I378" s="48"/>
    </row>
    <row r="379">
      <c r="I379" s="48"/>
    </row>
    <row r="380">
      <c r="I380" s="48"/>
    </row>
    <row r="381">
      <c r="I381" s="48"/>
    </row>
    <row r="382">
      <c r="I382" s="48"/>
    </row>
    <row r="383">
      <c r="I383" s="48"/>
    </row>
    <row r="384">
      <c r="I384" s="48"/>
    </row>
    <row r="385">
      <c r="I385" s="48"/>
    </row>
    <row r="386">
      <c r="I386" s="48"/>
    </row>
    <row r="387">
      <c r="I387" s="48"/>
    </row>
    <row r="388">
      <c r="I388" s="48"/>
    </row>
    <row r="389">
      <c r="I389" s="48"/>
    </row>
    <row r="390">
      <c r="I390" s="48"/>
    </row>
    <row r="391">
      <c r="I391" s="48"/>
    </row>
    <row r="392">
      <c r="I392" s="48"/>
    </row>
    <row r="393">
      <c r="I393" s="48"/>
    </row>
    <row r="394">
      <c r="I394" s="48"/>
    </row>
    <row r="395">
      <c r="I395" s="48"/>
    </row>
    <row r="396">
      <c r="I396" s="48"/>
    </row>
    <row r="397">
      <c r="I397" s="48"/>
    </row>
    <row r="398">
      <c r="I398" s="48"/>
    </row>
    <row r="399">
      <c r="I399" s="48"/>
    </row>
    <row r="400">
      <c r="I400" s="48"/>
    </row>
    <row r="401">
      <c r="I401" s="48"/>
    </row>
    <row r="402">
      <c r="I402" s="48"/>
    </row>
    <row r="403">
      <c r="I403" s="48"/>
    </row>
    <row r="404">
      <c r="I404" s="48"/>
    </row>
    <row r="405">
      <c r="I405" s="48"/>
    </row>
    <row r="406">
      <c r="I406" s="48"/>
    </row>
    <row r="407">
      <c r="I407" s="48"/>
    </row>
    <row r="408">
      <c r="I408" s="48"/>
    </row>
    <row r="409">
      <c r="I409" s="48"/>
    </row>
    <row r="410">
      <c r="I410" s="48"/>
    </row>
    <row r="411">
      <c r="I411" s="48"/>
    </row>
    <row r="412">
      <c r="I412" s="48"/>
    </row>
    <row r="413">
      <c r="I413" s="48"/>
    </row>
    <row r="414">
      <c r="I414" s="48"/>
    </row>
    <row r="415">
      <c r="I415" s="48"/>
    </row>
    <row r="416">
      <c r="I416" s="48"/>
    </row>
    <row r="417">
      <c r="I417" s="48"/>
    </row>
    <row r="418">
      <c r="I418" s="48"/>
    </row>
    <row r="419">
      <c r="I419" s="48"/>
    </row>
    <row r="420">
      <c r="I420" s="48"/>
    </row>
    <row r="421">
      <c r="I421" s="48"/>
    </row>
    <row r="422">
      <c r="I422" s="48"/>
    </row>
    <row r="423">
      <c r="I423" s="48"/>
    </row>
    <row r="424">
      <c r="I424" s="48"/>
    </row>
    <row r="425">
      <c r="I425" s="48"/>
    </row>
    <row r="426">
      <c r="I426" s="48"/>
    </row>
    <row r="427">
      <c r="I427" s="48"/>
    </row>
    <row r="428">
      <c r="I428" s="48"/>
    </row>
    <row r="429">
      <c r="I429" s="48"/>
    </row>
    <row r="430">
      <c r="I430" s="48"/>
    </row>
    <row r="431">
      <c r="I431" s="48"/>
    </row>
    <row r="432">
      <c r="I432" s="48"/>
    </row>
    <row r="433">
      <c r="I433" s="48"/>
    </row>
    <row r="434">
      <c r="I434" s="48"/>
    </row>
    <row r="435">
      <c r="I435" s="48"/>
    </row>
    <row r="436">
      <c r="I436" s="48"/>
    </row>
    <row r="437">
      <c r="I437" s="48"/>
    </row>
    <row r="438">
      <c r="I438" s="48"/>
    </row>
    <row r="439">
      <c r="I439" s="48"/>
    </row>
    <row r="440">
      <c r="I440" s="48"/>
    </row>
    <row r="441">
      <c r="I441" s="48"/>
    </row>
    <row r="442">
      <c r="I442" s="48"/>
    </row>
    <row r="443">
      <c r="I443" s="48"/>
    </row>
    <row r="444">
      <c r="I444" s="48"/>
    </row>
    <row r="445">
      <c r="I445" s="48"/>
    </row>
    <row r="446">
      <c r="I446" s="48"/>
    </row>
    <row r="447">
      <c r="I447" s="48"/>
    </row>
    <row r="448">
      <c r="I448" s="48"/>
    </row>
    <row r="449">
      <c r="I449" s="48"/>
    </row>
    <row r="450">
      <c r="I450" s="48"/>
    </row>
    <row r="451">
      <c r="I451" s="48"/>
    </row>
    <row r="452">
      <c r="I452" s="48"/>
    </row>
    <row r="453">
      <c r="I453" s="48"/>
    </row>
    <row r="454">
      <c r="I454" s="48"/>
    </row>
    <row r="455">
      <c r="I455" s="48"/>
    </row>
    <row r="456">
      <c r="I456" s="48"/>
    </row>
    <row r="457">
      <c r="I457" s="48"/>
    </row>
    <row r="458">
      <c r="I458" s="48"/>
    </row>
    <row r="459">
      <c r="I459" s="48"/>
    </row>
    <row r="460">
      <c r="I460" s="48"/>
    </row>
    <row r="461">
      <c r="I461" s="48"/>
    </row>
    <row r="462">
      <c r="I462" s="48"/>
    </row>
    <row r="463">
      <c r="I463" s="48"/>
    </row>
    <row r="464">
      <c r="I464" s="48"/>
    </row>
    <row r="465">
      <c r="I465" s="48"/>
    </row>
    <row r="466">
      <c r="I466" s="48"/>
    </row>
    <row r="467">
      <c r="I467" s="48"/>
    </row>
    <row r="468">
      <c r="I468" s="48"/>
    </row>
    <row r="469">
      <c r="I469" s="48"/>
    </row>
    <row r="470">
      <c r="I470" s="48"/>
    </row>
    <row r="471">
      <c r="I471" s="48"/>
    </row>
    <row r="472">
      <c r="I472" s="48"/>
    </row>
    <row r="473">
      <c r="I473" s="48"/>
    </row>
    <row r="474">
      <c r="I474" s="48"/>
    </row>
    <row r="475">
      <c r="I475" s="48"/>
    </row>
    <row r="476">
      <c r="I476" s="48"/>
    </row>
    <row r="477">
      <c r="I477" s="48"/>
    </row>
    <row r="478">
      <c r="I478" s="48"/>
    </row>
    <row r="479">
      <c r="I479" s="48"/>
    </row>
    <row r="480">
      <c r="I480" s="48"/>
    </row>
    <row r="481">
      <c r="I481" s="48"/>
    </row>
    <row r="482">
      <c r="I482" s="48"/>
    </row>
    <row r="483">
      <c r="I483" s="48"/>
    </row>
    <row r="484">
      <c r="I484" s="48"/>
    </row>
    <row r="485">
      <c r="I485" s="48"/>
    </row>
    <row r="486">
      <c r="I486" s="48"/>
    </row>
    <row r="487">
      <c r="I487" s="48"/>
    </row>
    <row r="488">
      <c r="I488" s="48"/>
    </row>
    <row r="489">
      <c r="I489" s="48"/>
    </row>
    <row r="490">
      <c r="I490" s="48"/>
    </row>
    <row r="491">
      <c r="I491" s="48"/>
    </row>
    <row r="492">
      <c r="I492" s="48"/>
    </row>
    <row r="493">
      <c r="I493" s="48"/>
    </row>
    <row r="494">
      <c r="I494" s="48"/>
    </row>
    <row r="495">
      <c r="I495" s="48"/>
    </row>
    <row r="496">
      <c r="I496" s="48"/>
    </row>
    <row r="497">
      <c r="I497" s="48"/>
    </row>
    <row r="498">
      <c r="I498" s="48"/>
    </row>
    <row r="499">
      <c r="I499" s="48"/>
    </row>
    <row r="500">
      <c r="I500" s="48"/>
    </row>
    <row r="501">
      <c r="I501" s="48"/>
    </row>
    <row r="502">
      <c r="I502" s="48"/>
    </row>
    <row r="503">
      <c r="I503" s="48"/>
    </row>
    <row r="504">
      <c r="I504" s="48"/>
    </row>
    <row r="505">
      <c r="I505" s="48"/>
    </row>
    <row r="506">
      <c r="I506" s="48"/>
    </row>
    <row r="507">
      <c r="I507" s="48"/>
    </row>
    <row r="508">
      <c r="I508" s="48"/>
    </row>
    <row r="509">
      <c r="I509" s="48"/>
    </row>
    <row r="510">
      <c r="I510" s="48"/>
    </row>
    <row r="511">
      <c r="I511" s="48"/>
    </row>
    <row r="512">
      <c r="I512" s="48"/>
    </row>
    <row r="513">
      <c r="I513" s="48"/>
    </row>
    <row r="514">
      <c r="I514" s="48"/>
    </row>
    <row r="515">
      <c r="I515" s="48"/>
    </row>
    <row r="516">
      <c r="I516" s="48"/>
    </row>
    <row r="517">
      <c r="I517" s="48"/>
    </row>
    <row r="518">
      <c r="I518" s="48"/>
    </row>
    <row r="519">
      <c r="I519" s="48"/>
    </row>
    <row r="520">
      <c r="I520" s="48"/>
    </row>
    <row r="521">
      <c r="I521" s="48"/>
    </row>
    <row r="522">
      <c r="I522" s="48"/>
    </row>
    <row r="523">
      <c r="I523" s="48"/>
    </row>
    <row r="524">
      <c r="I524" s="48"/>
    </row>
    <row r="525">
      <c r="I525" s="48"/>
    </row>
    <row r="526">
      <c r="I526" s="48"/>
    </row>
    <row r="527">
      <c r="I527" s="48"/>
    </row>
    <row r="528">
      <c r="I528" s="48"/>
    </row>
    <row r="529">
      <c r="I529" s="48"/>
    </row>
    <row r="530">
      <c r="I530" s="48"/>
    </row>
    <row r="531">
      <c r="I531" s="48"/>
    </row>
    <row r="532">
      <c r="I532" s="48"/>
    </row>
    <row r="533">
      <c r="I533" s="48"/>
    </row>
    <row r="534">
      <c r="I534" s="48"/>
    </row>
    <row r="535">
      <c r="I535" s="48"/>
    </row>
    <row r="536">
      <c r="I536" s="48"/>
    </row>
    <row r="537">
      <c r="I537" s="48"/>
    </row>
    <row r="538">
      <c r="I538" s="48"/>
    </row>
    <row r="539">
      <c r="I539" s="48"/>
    </row>
    <row r="540">
      <c r="I540" s="48"/>
    </row>
    <row r="541">
      <c r="I541" s="48"/>
    </row>
    <row r="542">
      <c r="I542" s="48"/>
    </row>
    <row r="543">
      <c r="I543" s="48"/>
    </row>
    <row r="544">
      <c r="I544" s="48"/>
    </row>
    <row r="545">
      <c r="I545" s="48"/>
    </row>
    <row r="546">
      <c r="I546" s="48"/>
    </row>
    <row r="547">
      <c r="I547" s="48"/>
    </row>
    <row r="548">
      <c r="I548" s="48"/>
    </row>
    <row r="549">
      <c r="I549" s="48"/>
    </row>
    <row r="550">
      <c r="I550" s="48"/>
    </row>
    <row r="551">
      <c r="I551" s="48"/>
    </row>
    <row r="552">
      <c r="I552" s="48"/>
    </row>
    <row r="553">
      <c r="I553" s="48"/>
    </row>
    <row r="554">
      <c r="I554" s="48"/>
    </row>
    <row r="555">
      <c r="I555" s="48"/>
    </row>
    <row r="556">
      <c r="I556" s="48"/>
    </row>
    <row r="557">
      <c r="I557" s="48"/>
    </row>
    <row r="558">
      <c r="I558" s="48"/>
    </row>
    <row r="559">
      <c r="I559" s="48"/>
    </row>
    <row r="560">
      <c r="I560" s="48"/>
    </row>
    <row r="561">
      <c r="I561" s="48"/>
    </row>
    <row r="562">
      <c r="I562" s="48"/>
    </row>
    <row r="563">
      <c r="I563" s="48"/>
    </row>
    <row r="564">
      <c r="I564" s="48"/>
    </row>
    <row r="565">
      <c r="I565" s="48"/>
    </row>
    <row r="566">
      <c r="I566" s="48"/>
    </row>
    <row r="567">
      <c r="I567" s="48"/>
    </row>
    <row r="568">
      <c r="I568" s="48"/>
    </row>
    <row r="569">
      <c r="I569" s="48"/>
    </row>
    <row r="570">
      <c r="I570" s="48"/>
    </row>
    <row r="571">
      <c r="I571" s="48"/>
    </row>
    <row r="572">
      <c r="I572" s="48"/>
    </row>
    <row r="573">
      <c r="I573" s="48"/>
    </row>
    <row r="574">
      <c r="I574" s="48"/>
    </row>
    <row r="575">
      <c r="I575" s="48"/>
    </row>
    <row r="576">
      <c r="I576" s="48"/>
    </row>
    <row r="577">
      <c r="I577" s="48"/>
    </row>
    <row r="578">
      <c r="I578" s="48"/>
    </row>
    <row r="579">
      <c r="I579" s="48"/>
    </row>
    <row r="580">
      <c r="I580" s="48"/>
    </row>
    <row r="581">
      <c r="I581" s="48"/>
    </row>
    <row r="582">
      <c r="I582" s="48"/>
    </row>
    <row r="583">
      <c r="I583" s="48"/>
    </row>
    <row r="584">
      <c r="I584" s="48"/>
    </row>
    <row r="585">
      <c r="I585" s="48"/>
    </row>
    <row r="586">
      <c r="I586" s="48"/>
    </row>
    <row r="587">
      <c r="I587" s="48"/>
    </row>
    <row r="588">
      <c r="I588" s="48"/>
    </row>
    <row r="589">
      <c r="I589" s="48"/>
    </row>
    <row r="590">
      <c r="I590" s="48"/>
    </row>
    <row r="591">
      <c r="I591" s="48"/>
    </row>
    <row r="592">
      <c r="I592" s="48"/>
    </row>
    <row r="593">
      <c r="I593" s="48"/>
    </row>
    <row r="594">
      <c r="I594" s="48"/>
    </row>
    <row r="595">
      <c r="I595" s="48"/>
    </row>
    <row r="596">
      <c r="I596" s="48"/>
    </row>
    <row r="597">
      <c r="I597" s="48"/>
    </row>
    <row r="598">
      <c r="I598" s="48"/>
    </row>
    <row r="599">
      <c r="I599" s="48"/>
    </row>
    <row r="600">
      <c r="I600" s="48"/>
    </row>
    <row r="601">
      <c r="I601" s="48"/>
    </row>
    <row r="602">
      <c r="I602" s="48"/>
    </row>
    <row r="603">
      <c r="I603" s="48"/>
    </row>
    <row r="604">
      <c r="I604" s="48"/>
    </row>
    <row r="605">
      <c r="I605" s="48"/>
    </row>
    <row r="606">
      <c r="I606" s="48"/>
    </row>
    <row r="607">
      <c r="I607" s="48"/>
    </row>
    <row r="608">
      <c r="I608" s="48"/>
    </row>
    <row r="609">
      <c r="I609" s="48"/>
    </row>
    <row r="610">
      <c r="I610" s="48"/>
    </row>
    <row r="611">
      <c r="I611" s="48"/>
    </row>
    <row r="612">
      <c r="I612" s="48"/>
    </row>
    <row r="613">
      <c r="I613" s="48"/>
    </row>
    <row r="614">
      <c r="I614" s="48"/>
    </row>
    <row r="615">
      <c r="I615" s="48"/>
    </row>
    <row r="616">
      <c r="I616" s="48"/>
    </row>
    <row r="617">
      <c r="I617" s="48"/>
    </row>
    <row r="618">
      <c r="I618" s="48"/>
    </row>
    <row r="619">
      <c r="I619" s="48"/>
    </row>
    <row r="620">
      <c r="I620" s="48"/>
    </row>
    <row r="621">
      <c r="I621" s="48"/>
    </row>
    <row r="622">
      <c r="I622" s="48"/>
    </row>
    <row r="623">
      <c r="I623" s="48"/>
    </row>
    <row r="624">
      <c r="I624" s="48"/>
    </row>
    <row r="625">
      <c r="I625" s="48"/>
    </row>
    <row r="626">
      <c r="I626" s="48"/>
    </row>
    <row r="627">
      <c r="I627" s="48"/>
    </row>
    <row r="628">
      <c r="I628" s="48"/>
    </row>
    <row r="629">
      <c r="I629" s="48"/>
    </row>
    <row r="630">
      <c r="I630" s="48"/>
    </row>
    <row r="631">
      <c r="I631" s="48"/>
    </row>
    <row r="632">
      <c r="I632" s="48"/>
    </row>
    <row r="633">
      <c r="I633" s="48"/>
    </row>
    <row r="634">
      <c r="I634" s="48"/>
    </row>
    <row r="635">
      <c r="I635" s="48"/>
    </row>
    <row r="636">
      <c r="I636" s="48"/>
    </row>
    <row r="637">
      <c r="I637" s="48"/>
    </row>
    <row r="638">
      <c r="I638" s="48"/>
    </row>
    <row r="639">
      <c r="I639" s="48"/>
    </row>
    <row r="640">
      <c r="I640" s="48"/>
    </row>
    <row r="641">
      <c r="I641" s="48"/>
    </row>
    <row r="642">
      <c r="I642" s="48"/>
    </row>
    <row r="643">
      <c r="I643" s="48"/>
    </row>
    <row r="644">
      <c r="I644" s="48"/>
    </row>
    <row r="645">
      <c r="I645" s="48"/>
    </row>
    <row r="646">
      <c r="I646" s="48"/>
    </row>
    <row r="647">
      <c r="I647" s="48"/>
    </row>
    <row r="648">
      <c r="I648" s="48"/>
    </row>
    <row r="649">
      <c r="I649" s="48"/>
    </row>
    <row r="650">
      <c r="I650" s="48"/>
    </row>
    <row r="651">
      <c r="I651" s="48"/>
    </row>
    <row r="652">
      <c r="I652" s="48"/>
    </row>
    <row r="653">
      <c r="I653" s="48"/>
    </row>
    <row r="654">
      <c r="I654" s="48"/>
    </row>
    <row r="655">
      <c r="I655" s="48"/>
    </row>
    <row r="656">
      <c r="I656" s="48"/>
    </row>
    <row r="657">
      <c r="I657" s="48"/>
    </row>
    <row r="658">
      <c r="I658" s="48"/>
    </row>
    <row r="659">
      <c r="I659" s="48"/>
    </row>
    <row r="660">
      <c r="I660" s="48"/>
    </row>
    <row r="661">
      <c r="I661" s="48"/>
    </row>
    <row r="662">
      <c r="I662" s="48"/>
    </row>
    <row r="663">
      <c r="I663" s="48"/>
    </row>
    <row r="664">
      <c r="I664" s="48"/>
    </row>
    <row r="665">
      <c r="I665" s="48"/>
    </row>
    <row r="666">
      <c r="I666" s="48"/>
    </row>
    <row r="667">
      <c r="I667" s="48"/>
    </row>
    <row r="668">
      <c r="I668" s="48"/>
    </row>
    <row r="669">
      <c r="I669" s="48"/>
    </row>
    <row r="670">
      <c r="I670" s="48"/>
    </row>
    <row r="671">
      <c r="I671" s="48"/>
    </row>
    <row r="672">
      <c r="I672" s="48"/>
    </row>
    <row r="673">
      <c r="I673" s="48"/>
    </row>
    <row r="674">
      <c r="I674" s="48"/>
    </row>
    <row r="675">
      <c r="I675" s="48"/>
    </row>
    <row r="676">
      <c r="I676" s="48"/>
    </row>
    <row r="677">
      <c r="I677" s="48"/>
    </row>
    <row r="678">
      <c r="I678" s="48"/>
    </row>
    <row r="679">
      <c r="I679" s="48"/>
    </row>
    <row r="680">
      <c r="I680" s="48"/>
    </row>
    <row r="681">
      <c r="I681" s="48"/>
    </row>
    <row r="682">
      <c r="I682" s="48"/>
    </row>
    <row r="683">
      <c r="I683" s="48"/>
    </row>
    <row r="684">
      <c r="I684" s="48"/>
    </row>
    <row r="685">
      <c r="I685" s="48"/>
    </row>
    <row r="686">
      <c r="I686" s="48"/>
    </row>
    <row r="687">
      <c r="I687" s="48"/>
    </row>
    <row r="688">
      <c r="I688" s="48"/>
    </row>
    <row r="689">
      <c r="I689" s="48"/>
    </row>
    <row r="690">
      <c r="I690" s="48"/>
    </row>
    <row r="691">
      <c r="I691" s="48"/>
    </row>
    <row r="692">
      <c r="I692" s="48"/>
    </row>
    <row r="693">
      <c r="I693" s="48"/>
    </row>
    <row r="694">
      <c r="I694" s="48"/>
    </row>
    <row r="695">
      <c r="I695" s="48"/>
    </row>
    <row r="696">
      <c r="I696" s="48"/>
    </row>
    <row r="697">
      <c r="I697" s="48"/>
    </row>
    <row r="698">
      <c r="I698" s="48"/>
    </row>
    <row r="699">
      <c r="I699" s="48"/>
    </row>
    <row r="700">
      <c r="I700" s="48"/>
    </row>
    <row r="701">
      <c r="I701" s="48"/>
    </row>
    <row r="702">
      <c r="I702" s="48"/>
    </row>
    <row r="703">
      <c r="I703" s="48"/>
    </row>
    <row r="704">
      <c r="I704" s="48"/>
    </row>
    <row r="705">
      <c r="I705" s="48"/>
    </row>
    <row r="706">
      <c r="I706" s="48"/>
    </row>
    <row r="707">
      <c r="I707" s="48"/>
    </row>
    <row r="708">
      <c r="I708" s="48"/>
    </row>
    <row r="709">
      <c r="I709" s="48"/>
    </row>
    <row r="710">
      <c r="I710" s="48"/>
    </row>
    <row r="711">
      <c r="I711" s="48"/>
    </row>
    <row r="712">
      <c r="I712" s="48"/>
    </row>
    <row r="713">
      <c r="I713" s="48"/>
    </row>
    <row r="714">
      <c r="I714" s="48"/>
    </row>
    <row r="715">
      <c r="I715" s="48"/>
    </row>
    <row r="716">
      <c r="I716" s="48"/>
    </row>
    <row r="717">
      <c r="I717" s="48"/>
    </row>
    <row r="718">
      <c r="I718" s="48"/>
    </row>
    <row r="719">
      <c r="I719" s="48"/>
    </row>
    <row r="720">
      <c r="I720" s="48"/>
    </row>
    <row r="721">
      <c r="I721" s="48"/>
    </row>
    <row r="722">
      <c r="I722" s="48"/>
    </row>
    <row r="723">
      <c r="I723" s="48"/>
    </row>
    <row r="724">
      <c r="I724" s="48"/>
    </row>
    <row r="725">
      <c r="I725" s="48"/>
    </row>
    <row r="726">
      <c r="I726" s="48"/>
    </row>
    <row r="727">
      <c r="I727" s="48"/>
    </row>
    <row r="728">
      <c r="I728" s="48"/>
    </row>
    <row r="729">
      <c r="I729" s="48"/>
    </row>
    <row r="730">
      <c r="I730" s="48"/>
    </row>
    <row r="731">
      <c r="I731" s="48"/>
    </row>
    <row r="732">
      <c r="I732" s="48"/>
    </row>
    <row r="733">
      <c r="I733" s="48"/>
    </row>
    <row r="734">
      <c r="I734" s="48"/>
    </row>
    <row r="735">
      <c r="I735" s="48"/>
    </row>
    <row r="736">
      <c r="I736" s="48"/>
    </row>
    <row r="737">
      <c r="I737" s="48"/>
    </row>
    <row r="738">
      <c r="I738" s="48"/>
    </row>
    <row r="739">
      <c r="I739" s="48"/>
    </row>
    <row r="740">
      <c r="I740" s="48"/>
    </row>
    <row r="741">
      <c r="I741" s="48"/>
    </row>
    <row r="742">
      <c r="I742" s="48"/>
    </row>
    <row r="743">
      <c r="I743" s="48"/>
    </row>
    <row r="744">
      <c r="I744" s="48"/>
    </row>
    <row r="745">
      <c r="I745" s="48"/>
    </row>
    <row r="746">
      <c r="I746" s="48"/>
    </row>
    <row r="747">
      <c r="I747" s="48"/>
    </row>
    <row r="748">
      <c r="I748" s="48"/>
    </row>
    <row r="749">
      <c r="I749" s="48"/>
    </row>
    <row r="750">
      <c r="I750" s="48"/>
    </row>
    <row r="751">
      <c r="I751" s="48"/>
    </row>
    <row r="752">
      <c r="I752" s="48"/>
    </row>
    <row r="753">
      <c r="I753" s="48"/>
    </row>
    <row r="754">
      <c r="I754" s="48"/>
    </row>
    <row r="755">
      <c r="I755" s="48"/>
    </row>
    <row r="756">
      <c r="I756" s="48"/>
    </row>
    <row r="757">
      <c r="I757" s="48"/>
    </row>
    <row r="758">
      <c r="I758" s="48"/>
    </row>
    <row r="759">
      <c r="I759" s="48"/>
    </row>
    <row r="760">
      <c r="I760" s="48"/>
    </row>
    <row r="761">
      <c r="I761" s="48"/>
    </row>
    <row r="762">
      <c r="I762" s="48"/>
    </row>
    <row r="763">
      <c r="I763" s="48"/>
    </row>
    <row r="764">
      <c r="I764" s="48"/>
    </row>
    <row r="765">
      <c r="I765" s="48"/>
    </row>
    <row r="766">
      <c r="I766" s="48"/>
    </row>
    <row r="767">
      <c r="I767" s="48"/>
    </row>
    <row r="768">
      <c r="I768" s="48"/>
    </row>
    <row r="769">
      <c r="I769" s="48"/>
    </row>
    <row r="770">
      <c r="I770" s="48"/>
    </row>
    <row r="771">
      <c r="I771" s="48"/>
    </row>
    <row r="772">
      <c r="I772" s="48"/>
    </row>
    <row r="773">
      <c r="I773" s="48"/>
    </row>
    <row r="774">
      <c r="I774" s="48"/>
    </row>
    <row r="775">
      <c r="I775" s="48"/>
    </row>
    <row r="776">
      <c r="I776" s="48"/>
    </row>
    <row r="777">
      <c r="I777" s="48"/>
    </row>
    <row r="778">
      <c r="I778" s="48"/>
    </row>
    <row r="779">
      <c r="I779" s="48"/>
    </row>
    <row r="780">
      <c r="I780" s="48"/>
    </row>
    <row r="781">
      <c r="I781" s="48"/>
    </row>
    <row r="782">
      <c r="I782" s="48"/>
    </row>
    <row r="783">
      <c r="I783" s="48"/>
    </row>
    <row r="784">
      <c r="I784" s="48"/>
    </row>
    <row r="785">
      <c r="I785" s="48"/>
    </row>
    <row r="786">
      <c r="I786" s="48"/>
    </row>
    <row r="787">
      <c r="I787" s="48"/>
    </row>
    <row r="788">
      <c r="I788" s="48"/>
    </row>
    <row r="789">
      <c r="I789" s="48"/>
    </row>
    <row r="790">
      <c r="I790" s="48"/>
    </row>
    <row r="791">
      <c r="I791" s="48"/>
    </row>
    <row r="792">
      <c r="I792" s="48"/>
    </row>
    <row r="793">
      <c r="I793" s="48"/>
    </row>
    <row r="794">
      <c r="I794" s="48"/>
    </row>
    <row r="795">
      <c r="I795" s="48"/>
    </row>
    <row r="796">
      <c r="I796" s="48"/>
    </row>
    <row r="797">
      <c r="I797" s="48"/>
    </row>
    <row r="798">
      <c r="I798" s="48"/>
    </row>
    <row r="799">
      <c r="I799" s="48"/>
    </row>
    <row r="800">
      <c r="I800" s="48"/>
    </row>
    <row r="801">
      <c r="I801" s="48"/>
    </row>
    <row r="802">
      <c r="I802" s="48"/>
    </row>
    <row r="803">
      <c r="I803" s="48"/>
    </row>
    <row r="804">
      <c r="I804" s="48"/>
    </row>
    <row r="805">
      <c r="I805" s="48"/>
    </row>
    <row r="806">
      <c r="I806" s="48"/>
    </row>
    <row r="807">
      <c r="I807" s="48"/>
    </row>
    <row r="808">
      <c r="I808" s="48"/>
    </row>
    <row r="809">
      <c r="I809" s="48"/>
    </row>
    <row r="810">
      <c r="I810" s="48"/>
    </row>
    <row r="811">
      <c r="I811" s="48"/>
    </row>
    <row r="812">
      <c r="I812" s="48"/>
    </row>
    <row r="813">
      <c r="I813" s="48"/>
    </row>
    <row r="814">
      <c r="I814" s="48"/>
    </row>
    <row r="815">
      <c r="I815" s="48"/>
    </row>
    <row r="816">
      <c r="I816" s="48"/>
    </row>
    <row r="817">
      <c r="I817" s="48"/>
    </row>
    <row r="818">
      <c r="I818" s="48"/>
    </row>
    <row r="819">
      <c r="I819" s="48"/>
    </row>
    <row r="820">
      <c r="I820" s="48"/>
    </row>
    <row r="821">
      <c r="I821" s="48"/>
    </row>
    <row r="822">
      <c r="I822" s="48"/>
    </row>
    <row r="823">
      <c r="I823" s="48"/>
    </row>
    <row r="824">
      <c r="I824" s="48"/>
    </row>
    <row r="825">
      <c r="I825" s="48"/>
    </row>
    <row r="826">
      <c r="I826" s="48"/>
    </row>
    <row r="827">
      <c r="I827" s="48"/>
    </row>
    <row r="828">
      <c r="I828" s="48"/>
    </row>
    <row r="829">
      <c r="I829" s="48"/>
    </row>
    <row r="830">
      <c r="I830" s="48"/>
    </row>
    <row r="831">
      <c r="I831" s="48"/>
    </row>
    <row r="832">
      <c r="I832" s="48"/>
    </row>
    <row r="833">
      <c r="I833" s="48"/>
    </row>
    <row r="834">
      <c r="I834" s="48"/>
    </row>
    <row r="835">
      <c r="I835" s="48"/>
    </row>
    <row r="836">
      <c r="I836" s="48"/>
    </row>
    <row r="837">
      <c r="I837" s="48"/>
    </row>
    <row r="838">
      <c r="I838" s="48"/>
    </row>
    <row r="839">
      <c r="I839" s="48"/>
    </row>
    <row r="840">
      <c r="I840" s="48"/>
    </row>
    <row r="841">
      <c r="I841" s="48"/>
    </row>
    <row r="842">
      <c r="I842" s="48"/>
    </row>
    <row r="843">
      <c r="I843" s="48"/>
    </row>
    <row r="844">
      <c r="I844" s="48"/>
    </row>
    <row r="845">
      <c r="I845" s="48"/>
    </row>
    <row r="846">
      <c r="I846" s="48"/>
    </row>
    <row r="847">
      <c r="I847" s="48"/>
    </row>
    <row r="848">
      <c r="I848" s="48"/>
    </row>
    <row r="849">
      <c r="I849" s="48"/>
    </row>
    <row r="850">
      <c r="I850" s="48"/>
    </row>
    <row r="851">
      <c r="I851" s="48"/>
    </row>
    <row r="852">
      <c r="I852" s="48"/>
    </row>
    <row r="853">
      <c r="I853" s="48"/>
    </row>
    <row r="854">
      <c r="I854" s="48"/>
    </row>
    <row r="855">
      <c r="I855" s="48"/>
    </row>
    <row r="856">
      <c r="I856" s="48"/>
    </row>
    <row r="857">
      <c r="I857" s="48"/>
    </row>
    <row r="858">
      <c r="I858" s="48"/>
    </row>
    <row r="859">
      <c r="I859" s="48"/>
    </row>
    <row r="860">
      <c r="I860" s="48"/>
    </row>
    <row r="861">
      <c r="I861" s="48"/>
    </row>
    <row r="862">
      <c r="I862" s="48"/>
    </row>
    <row r="863">
      <c r="I863" s="48"/>
    </row>
    <row r="864">
      <c r="I864" s="48"/>
    </row>
    <row r="865">
      <c r="I865" s="48"/>
    </row>
    <row r="866">
      <c r="I866" s="48"/>
    </row>
    <row r="867">
      <c r="I867" s="48"/>
    </row>
    <row r="868">
      <c r="I868" s="48"/>
    </row>
    <row r="869">
      <c r="I869" s="48"/>
    </row>
    <row r="870">
      <c r="I870" s="48"/>
    </row>
    <row r="871">
      <c r="I871" s="48"/>
    </row>
    <row r="872">
      <c r="I872" s="48"/>
    </row>
    <row r="873">
      <c r="I873" s="48"/>
    </row>
    <row r="874">
      <c r="I874" s="48"/>
    </row>
    <row r="875">
      <c r="I875" s="48"/>
    </row>
    <row r="876">
      <c r="I876" s="48"/>
    </row>
    <row r="877">
      <c r="I877" s="48"/>
    </row>
    <row r="878">
      <c r="I878" s="48"/>
    </row>
    <row r="879">
      <c r="I879" s="48"/>
    </row>
    <row r="880">
      <c r="I880" s="48"/>
    </row>
    <row r="881">
      <c r="I881" s="48"/>
    </row>
    <row r="882">
      <c r="I882" s="48"/>
    </row>
    <row r="883">
      <c r="I883" s="48"/>
    </row>
    <row r="884">
      <c r="I884" s="48"/>
    </row>
    <row r="885">
      <c r="I885" s="48"/>
    </row>
    <row r="886">
      <c r="I886" s="48"/>
    </row>
    <row r="887">
      <c r="I887" s="48"/>
    </row>
    <row r="888">
      <c r="I888" s="48"/>
    </row>
    <row r="889">
      <c r="I889" s="48"/>
    </row>
    <row r="890">
      <c r="I890" s="48"/>
    </row>
    <row r="891">
      <c r="I891" s="48"/>
    </row>
    <row r="892">
      <c r="I892" s="48"/>
    </row>
    <row r="893">
      <c r="I893" s="48"/>
    </row>
    <row r="894">
      <c r="I894" s="48"/>
    </row>
    <row r="895">
      <c r="I895" s="48"/>
    </row>
    <row r="896">
      <c r="I896" s="48"/>
    </row>
    <row r="897">
      <c r="I897" s="48"/>
    </row>
    <row r="898">
      <c r="I898" s="48"/>
    </row>
    <row r="899">
      <c r="I899" s="48"/>
    </row>
    <row r="900">
      <c r="I900" s="48"/>
    </row>
    <row r="901">
      <c r="I901" s="48"/>
    </row>
    <row r="902">
      <c r="I902" s="48"/>
    </row>
    <row r="903">
      <c r="I903" s="48"/>
    </row>
    <row r="904">
      <c r="I904" s="48"/>
    </row>
    <row r="905">
      <c r="I905" s="48"/>
    </row>
    <row r="906">
      <c r="I906" s="48"/>
    </row>
    <row r="907">
      <c r="I907" s="48"/>
    </row>
    <row r="908">
      <c r="I908" s="48"/>
    </row>
    <row r="909">
      <c r="I909" s="48"/>
    </row>
    <row r="910">
      <c r="I910" s="48"/>
    </row>
    <row r="911">
      <c r="I911" s="48"/>
    </row>
    <row r="912">
      <c r="I912" s="48"/>
    </row>
    <row r="913">
      <c r="I913" s="48"/>
    </row>
    <row r="914">
      <c r="I914" s="48"/>
    </row>
    <row r="915">
      <c r="I915" s="48"/>
    </row>
    <row r="916">
      <c r="I916" s="48"/>
    </row>
    <row r="917">
      <c r="I917" s="48"/>
    </row>
    <row r="918">
      <c r="I918" s="48"/>
    </row>
    <row r="919">
      <c r="I919" s="48"/>
    </row>
    <row r="920">
      <c r="I920" s="48"/>
    </row>
    <row r="921">
      <c r="I921" s="48"/>
    </row>
    <row r="922">
      <c r="I922" s="48"/>
    </row>
    <row r="923">
      <c r="I923" s="48"/>
    </row>
    <row r="924">
      <c r="I924" s="48"/>
    </row>
    <row r="925">
      <c r="I925" s="48"/>
    </row>
    <row r="926">
      <c r="I926" s="48"/>
    </row>
    <row r="927">
      <c r="I927" s="48"/>
    </row>
    <row r="928">
      <c r="I928" s="48"/>
    </row>
    <row r="929">
      <c r="I929" s="48"/>
    </row>
    <row r="930">
      <c r="I930" s="48"/>
    </row>
    <row r="931">
      <c r="I931" s="48"/>
    </row>
    <row r="932">
      <c r="I932" s="48"/>
    </row>
    <row r="933">
      <c r="I933" s="48"/>
    </row>
    <row r="934">
      <c r="I934" s="48"/>
    </row>
    <row r="935">
      <c r="I935" s="48"/>
    </row>
    <row r="936">
      <c r="I936" s="48"/>
    </row>
    <row r="937">
      <c r="I937" s="48"/>
    </row>
    <row r="938">
      <c r="I938" s="48"/>
    </row>
    <row r="939">
      <c r="I939" s="48"/>
    </row>
    <row r="940">
      <c r="I940" s="48"/>
    </row>
    <row r="941">
      <c r="I941" s="48"/>
    </row>
    <row r="942">
      <c r="I942" s="48"/>
    </row>
    <row r="943">
      <c r="I943" s="48"/>
    </row>
    <row r="944">
      <c r="I944" s="48"/>
    </row>
    <row r="945">
      <c r="I945" s="48"/>
    </row>
    <row r="946">
      <c r="I946" s="48"/>
    </row>
    <row r="947">
      <c r="I947" s="48"/>
    </row>
    <row r="948">
      <c r="I948" s="48"/>
    </row>
    <row r="949">
      <c r="I949" s="48"/>
    </row>
    <row r="950">
      <c r="I950" s="48"/>
    </row>
    <row r="951">
      <c r="I951" s="48"/>
    </row>
    <row r="952">
      <c r="I952" s="48"/>
    </row>
    <row r="953">
      <c r="I953" s="48"/>
    </row>
    <row r="954">
      <c r="I954" s="48"/>
    </row>
    <row r="955">
      <c r="I955" s="48"/>
    </row>
    <row r="956">
      <c r="I956" s="48"/>
    </row>
    <row r="957">
      <c r="I957" s="48"/>
    </row>
    <row r="958">
      <c r="I958" s="48"/>
    </row>
    <row r="959">
      <c r="I959" s="48"/>
    </row>
    <row r="960">
      <c r="I960" s="48"/>
    </row>
    <row r="961">
      <c r="I961" s="48"/>
    </row>
    <row r="962">
      <c r="I962" s="48"/>
    </row>
    <row r="963">
      <c r="I963" s="48"/>
    </row>
  </sheetData>
  <mergeCells count="1">
    <mergeCell ref="D1:G1"/>
  </mergeCells>
  <drawing r:id="rId1"/>
</worksheet>
</file>